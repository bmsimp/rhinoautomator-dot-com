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Individual Assessment" sheetId="2" state="visible" r:id="rId2"/>
    <sheet name="Team Aggregation" sheetId="3" state="visible" r:id="rId3"/>
    <sheet name="Framework Reference"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b val="1"/>
      <color rgb="00FFFFFF"/>
      <sz val="16"/>
    </font>
    <font>
      <i val="1"/>
      <color rgb="00FFFFFF"/>
      <sz val="10"/>
    </font>
    <font>
      <b val="1"/>
      <color rgb="003B5BDB"/>
      <sz val="11"/>
    </font>
    <font>
      <color rgb="001A1F36"/>
      <sz val="10"/>
    </font>
    <font>
      <b val="1"/>
      <color rgb="001A1F36"/>
      <sz val="10"/>
    </font>
    <font>
      <b val="1"/>
      <color rgb="00FFFFFF"/>
      <sz val="14"/>
    </font>
    <font>
      <b val="1"/>
      <color rgb="001A1F36"/>
      <sz val="11"/>
    </font>
    <font>
      <i val="1"/>
      <color rgb="006B7394"/>
      <sz val="11"/>
    </font>
    <font>
      <b val="1"/>
      <color rgb="00FFFFFF"/>
      <sz val="10"/>
    </font>
    <font>
      <b val="1"/>
      <color rgb="003B5BDB"/>
      <sz val="10"/>
    </font>
    <font>
      <i val="1"/>
      <color rgb="006B7394"/>
      <sz val="9"/>
    </font>
    <font>
      <b val="1"/>
      <color rgb="003B5BDB"/>
      <sz val="14"/>
    </font>
    <font>
      <i val="1"/>
      <color rgb="001A1F36"/>
      <sz val="9"/>
    </font>
    <font>
      <b val="1"/>
      <color rgb="00FFFFFF"/>
      <sz val="11"/>
    </font>
    <font>
      <b val="1"/>
      <color rgb="001A1F36"/>
      <sz val="12"/>
    </font>
    <font>
      <b val="1"/>
      <color rgb="00FFFFFF"/>
      <sz val="12"/>
    </font>
    <font>
      <b val="1"/>
      <color rgb="00FFFFFF"/>
      <sz val="9"/>
    </font>
    <font>
      <b val="1"/>
      <color rgb="003B5BDB"/>
      <sz val="9"/>
    </font>
    <font>
      <b val="1"/>
      <sz val="10"/>
    </font>
    <font>
      <b val="1"/>
      <color rgb="001A1F36"/>
      <sz val="9"/>
    </font>
    <font>
      <color rgb="004A5568"/>
      <sz val="9"/>
    </font>
  </fonts>
  <fills count="11">
    <fill>
      <patternFill/>
    </fill>
    <fill>
      <patternFill patternType="gray125"/>
    </fill>
    <fill>
      <patternFill patternType="solid">
        <fgColor rgb="003B5BDB"/>
      </patternFill>
    </fill>
    <fill>
      <patternFill patternType="solid">
        <fgColor rgb="007048E8"/>
      </patternFill>
    </fill>
    <fill>
      <patternFill patternType="solid">
        <fgColor rgb="00E8ECFC"/>
      </patternFill>
    </fill>
    <fill>
      <patternFill patternType="solid">
        <fgColor rgb="00FFFDE7"/>
      </patternFill>
    </fill>
    <fill>
      <patternFill patternType="solid">
        <fgColor rgb="002F4BC4"/>
      </patternFill>
    </fill>
    <fill>
      <patternFill patternType="solid">
        <fgColor rgb="00FFFFFF"/>
      </patternFill>
    </fill>
    <fill>
      <patternFill patternType="solid">
        <fgColor rgb="00EFF3FF"/>
      </patternFill>
    </fill>
    <fill>
      <patternFill patternType="solid">
        <fgColor rgb="00F4F6FB"/>
      </patternFill>
    </fill>
    <fill>
      <patternFill patternType="solid">
        <fgColor rgb="00F3F0FF"/>
      </patternFill>
    </fill>
  </fills>
  <borders count="10">
    <border>
      <left/>
      <right/>
      <top/>
      <bottom/>
      <diagonal/>
    </border>
    <border>
      <left style="thin">
        <color rgb="00DDE3EE"/>
      </left>
      <right style="thin">
        <color rgb="00DDE3EE"/>
      </right>
      <top style="thin">
        <color rgb="00DDE3EE"/>
      </top>
      <bottom style="thin">
        <color rgb="00DDE3EE"/>
      </bottom>
    </border>
    <border>
      <left style="thin">
        <color rgb="00FFFFFF"/>
      </left>
      <right style="thin">
        <color rgb="00FFFFFF"/>
      </right>
      <top style="thin">
        <color rgb="00FFFFFF"/>
      </top>
      <bottom style="thin">
        <color rgb="00FFFFFF"/>
      </bottom>
    </border>
    <border>
      <left style="thin">
        <color rgb="003B5BDB"/>
      </left>
      <right style="thin">
        <color rgb="003B5BDB"/>
      </right>
      <top style="thin">
        <color rgb="003B5BDB"/>
      </top>
      <bottom style="thin">
        <color rgb="003B5BDB"/>
      </bottom>
    </border>
    <border>
      <left/>
      <right/>
      <top style="thin">
        <color rgb="00DDE3EE"/>
      </top>
      <bottom/>
      <diagonal/>
    </border>
    <border>
      <left/>
      <right style="thin">
        <color rgb="00DDE3EE"/>
      </right>
      <top style="thin">
        <color rgb="00DDE3EE"/>
      </top>
      <bottom/>
      <diagonal/>
    </border>
    <border>
      <left/>
      <right style="thin">
        <color rgb="00DDE3EE"/>
      </right>
      <top style="thin">
        <color rgb="00DDE3EE"/>
      </top>
      <bottom style="thin">
        <color rgb="00DDE3EE"/>
      </bottom>
      <diagonal/>
    </border>
    <border>
      <left style="thin">
        <color rgb="00DDE3EE"/>
      </left>
      <right/>
      <top/>
      <bottom/>
      <diagonal/>
    </border>
    <border>
      <left style="thin">
        <color rgb="00DDE3EE"/>
      </left>
      <right style="thin">
        <color rgb="00DDE3EE"/>
      </right>
      <top/>
      <bottom/>
      <diagonal/>
    </border>
    <border>
      <left style="thin">
        <color rgb="00DDE3EE"/>
      </left>
      <right style="thin">
        <color rgb="00DDE3EE"/>
      </right>
      <top/>
      <bottom style="thin">
        <color rgb="00DDE3EE"/>
      </bottom>
      <diagonal/>
    </border>
  </borders>
  <cellStyleXfs count="1">
    <xf numFmtId="0" fontId="0" fillId="0" borderId="0"/>
  </cellStyleXfs>
  <cellXfs count="48">
    <xf numFmtId="0" fontId="0" fillId="0" borderId="0" pivotButton="0" quotePrefix="0" xfId="0"/>
    <xf numFmtId="0" fontId="1" fillId="2" borderId="0" applyAlignment="1" pivotButton="0" quotePrefix="0" xfId="0">
      <alignment horizontal="left" vertical="center"/>
    </xf>
    <xf numFmtId="0" fontId="2" fillId="3" borderId="0" applyAlignment="1" pivotButton="0" quotePrefix="0" xfId="0">
      <alignment horizontal="left" vertical="center"/>
    </xf>
    <xf numFmtId="0" fontId="3" fillId="4" borderId="0" applyAlignment="1" pivotButton="0" quotePrefix="0" xfId="0">
      <alignment horizontal="left" vertical="center"/>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0" applyAlignment="1" pivotButton="0" quotePrefix="0" xfId="0">
      <alignment horizontal="center" vertical="center"/>
    </xf>
    <xf numFmtId="0" fontId="7" fillId="0" borderId="0" applyAlignment="1" pivotButton="0" quotePrefix="0" xfId="0">
      <alignment horizontal="right" vertical="center"/>
    </xf>
    <xf numFmtId="0" fontId="8" fillId="5" borderId="1" applyAlignment="1" pivotButton="0" quotePrefix="0" xfId="0">
      <alignment horizontal="left" vertical="center"/>
    </xf>
    <xf numFmtId="0" fontId="9" fillId="6" borderId="2" applyAlignment="1" pivotButton="0" quotePrefix="0" xfId="0">
      <alignment horizontal="center" vertical="center" wrapText="1"/>
    </xf>
    <xf numFmtId="0" fontId="9" fillId="2" borderId="1" applyAlignment="1" pivotButton="0" quotePrefix="0" xfId="0">
      <alignment horizontal="center" vertical="center"/>
    </xf>
    <xf numFmtId="0" fontId="10"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8" borderId="3" applyAlignment="1" pivotButton="0" quotePrefix="0" xfId="0">
      <alignment horizontal="center" vertical="center"/>
    </xf>
    <xf numFmtId="0" fontId="13" fillId="7" borderId="1" applyAlignment="1" pivotButton="0" quotePrefix="0" xfId="0">
      <alignment horizontal="left" vertical="center" wrapText="1"/>
    </xf>
    <xf numFmtId="0" fontId="10" fillId="9" borderId="1" applyAlignment="1" pivotButton="0" quotePrefix="0" xfId="0">
      <alignment horizontal="left" vertical="center" wrapText="1"/>
    </xf>
    <xf numFmtId="0" fontId="11" fillId="9" borderId="1" applyAlignment="1" pivotButton="0" quotePrefix="0" xfId="0">
      <alignment horizontal="left" vertical="center" wrapText="1"/>
    </xf>
    <xf numFmtId="0" fontId="13" fillId="9" borderId="1" applyAlignment="1" pivotButton="0" quotePrefix="0" xfId="0">
      <alignment horizontal="left" vertical="center" wrapText="1"/>
    </xf>
    <xf numFmtId="0" fontId="14" fillId="2" borderId="1" applyAlignment="1" pivotButton="0" quotePrefix="0" xfId="0">
      <alignment horizontal="right" vertical="center"/>
    </xf>
    <xf numFmtId="0" fontId="6" fillId="2" borderId="1" applyAlignment="1" pivotButton="0" quotePrefix="0" xfId="0">
      <alignment horizontal="center" vertical="center"/>
    </xf>
    <xf numFmtId="0" fontId="3" fillId="4" borderId="1" applyAlignment="1" pivotButton="0" quotePrefix="0" xfId="0">
      <alignment horizontal="right" vertical="center"/>
    </xf>
    <xf numFmtId="0" fontId="3" fillId="4" borderId="1" applyAlignment="1" pivotButton="0" quotePrefix="0" xfId="0">
      <alignment horizontal="center" vertical="center"/>
    </xf>
    <xf numFmtId="0" fontId="0" fillId="0" borderId="6" pivotButton="0" quotePrefix="0" xfId="0"/>
    <xf numFmtId="0" fontId="11" fillId="4" borderId="0" applyAlignment="1" pivotButton="0" quotePrefix="0" xfId="0">
      <alignment horizontal="center" vertical="center"/>
    </xf>
    <xf numFmtId="0" fontId="11" fillId="5" borderId="1" applyAlignment="1" pivotButton="0" quotePrefix="0" xfId="0">
      <alignment horizontal="center" vertical="center"/>
    </xf>
    <xf numFmtId="0" fontId="9" fillId="6" borderId="1" applyAlignment="1" pivotButton="0" quotePrefix="0" xfId="0">
      <alignment horizontal="center" vertical="center"/>
    </xf>
    <xf numFmtId="0" fontId="9" fillId="3" borderId="1" applyAlignment="1" pivotButton="0" quotePrefix="0" xfId="0">
      <alignment horizontal="center" vertical="center"/>
    </xf>
    <xf numFmtId="0" fontId="15" fillId="8" borderId="3" applyAlignment="1" pivotButton="0" quotePrefix="0" xfId="0">
      <alignment horizontal="center" vertical="center"/>
    </xf>
    <xf numFmtId="0" fontId="15" fillId="10" borderId="3" applyAlignment="1" pivotButton="0" quotePrefix="0" xfId="0">
      <alignment horizontal="center" vertical="center"/>
    </xf>
    <xf numFmtId="164" fontId="3" fillId="4" borderId="3" applyAlignment="1" pivotButton="0" quotePrefix="0" xfId="0">
      <alignment horizontal="center" vertical="center"/>
    </xf>
    <xf numFmtId="0" fontId="16" fillId="2" borderId="1" applyAlignment="1" pivotButton="0" quotePrefix="0" xfId="0">
      <alignment horizontal="center" vertical="center"/>
    </xf>
    <xf numFmtId="164" fontId="16" fillId="2" borderId="1" applyAlignment="1" pivotButton="0" quotePrefix="0" xfId="0">
      <alignment horizontal="center" vertical="center"/>
    </xf>
    <xf numFmtId="0" fontId="9" fillId="6" borderId="0" applyAlignment="1" pivotButton="0" quotePrefix="0" xfId="0">
      <alignment horizontal="left" vertical="center"/>
    </xf>
    <xf numFmtId="0" fontId="9" fillId="6" borderId="0" applyAlignment="1" pivotButton="0" quotePrefix="0" xfId="0">
      <alignment horizontal="center" vertical="center"/>
    </xf>
    <xf numFmtId="0" fontId="17" fillId="2" borderId="1" applyAlignment="1" pivotButton="0" quotePrefix="0" xfId="0">
      <alignment horizontal="center" vertical="center"/>
    </xf>
    <xf numFmtId="0" fontId="18" fillId="4" borderId="1" applyAlignment="1" pivotButton="0" quotePrefix="0" xfId="0">
      <alignment horizontal="left" vertical="center"/>
    </xf>
    <xf numFmtId="164" fontId="19" fillId="4" borderId="1" applyAlignment="1" pivotButton="0" quotePrefix="0" xfId="0">
      <alignment horizontal="center" vertical="center"/>
    </xf>
    <xf numFmtId="0" fontId="9" fillId="6" borderId="1" applyAlignment="1" pivotButton="0" quotePrefix="0" xfId="0">
      <alignment horizontal="center" vertical="center" wrapText="1"/>
    </xf>
    <xf numFmtId="0" fontId="10" fillId="8" borderId="1" applyAlignment="1" pivotButton="0" quotePrefix="0" xfId="0">
      <alignment horizontal="left" vertical="center" wrapText="1"/>
    </xf>
    <xf numFmtId="0" fontId="20" fillId="8" borderId="1" applyAlignment="1" pivotButton="0" quotePrefix="0" xfId="0">
      <alignment horizontal="left" vertical="center" wrapText="1"/>
    </xf>
    <xf numFmtId="0" fontId="11" fillId="8" borderId="1" applyAlignment="1" pivotButton="0" quotePrefix="0" xfId="0">
      <alignment horizontal="left" vertical="center" wrapText="1"/>
    </xf>
    <xf numFmtId="0" fontId="21" fillId="8" borderId="1" applyAlignment="1" pivotButton="0" quotePrefix="0" xfId="0">
      <alignment horizontal="left" vertical="center" wrapText="1"/>
    </xf>
    <xf numFmtId="0" fontId="0" fillId="0" borderId="8" pivotButton="0" quotePrefix="0" xfId="0"/>
    <xf numFmtId="0" fontId="0" fillId="0" borderId="9" pivotButton="0" quotePrefix="0" xfId="0"/>
    <xf numFmtId="0" fontId="10" fillId="4" borderId="1" applyAlignment="1" pivotButton="0" quotePrefix="0" xfId="0">
      <alignment horizontal="left" vertical="center" wrapText="1"/>
    </xf>
    <xf numFmtId="0" fontId="20" fillId="4" borderId="1" applyAlignment="1" pivotButton="0" quotePrefix="0" xfId="0">
      <alignment horizontal="left" vertical="center" wrapText="1"/>
    </xf>
    <xf numFmtId="0" fontId="11" fillId="4" borderId="1" applyAlignment="1" pivotButton="0" quotePrefix="0" xfId="0">
      <alignment horizontal="left" vertical="center" wrapText="1"/>
    </xf>
    <xf numFmtId="0" fontId="21" fillId="4"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Automation Archetype Radar</a:t>
            </a:r>
          </a:p>
        </rich>
      </tx>
    </title>
    <plotArea>
      <radarChart>
        <radarStyle val="filled"/>
        <ser>
          <idx val="0"/>
          <order val="0"/>
          <tx>
            <strRef>
              <f>'Individual Assessment'!E5</f>
            </strRef>
          </tx>
          <spPr>
            <a:ln>
              <a:prstDash val="solid"/>
            </a:ln>
          </spPr>
          <marker>
            <symbol val="none"/>
            <spPr>
              <a:ln>
                <a:prstDash val="solid"/>
              </a:ln>
            </spPr>
          </marker>
          <cat>
            <numRef>
              <f>'Individual Assessment'!$C$6:$C$13</f>
            </numRef>
          </cat>
          <val>
            <numRef>
              <f>'Individual Assessment'!$E$6:$E$13</f>
            </numRef>
          </val>
        </ser>
        <axId val="10"/>
        <axId val="100"/>
      </radarChart>
      <catAx>
        <axId val="10"/>
        <scaling>
          <orientation val="minMax"/>
        </scaling>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Team Automation Archetype Radar</a:t>
            </a:r>
          </a:p>
        </rich>
      </tx>
    </title>
    <plotArea>
      <radarChart>
        <radarStyle val="filled"/>
        <ser>
          <idx val="0"/>
          <order val="0"/>
          <tx>
            <strRef>
              <f>'Team Aggregation'!D4</f>
            </strRef>
          </tx>
          <spPr>
            <a:ln>
              <a:prstDash val="solid"/>
            </a:ln>
          </spPr>
          <marker>
            <symbol val="none"/>
            <spPr>
              <a:ln>
                <a:prstDash val="solid"/>
              </a:ln>
            </spPr>
          </marker>
          <cat>
            <numRef>
              <f>'Team Aggregation'!$C$5:$C$12</f>
            </numRef>
          </cat>
          <val>
            <numRef>
              <f>'Team Aggregation'!$D$5:$D$12</f>
            </numRef>
          </val>
        </ser>
        <ser>
          <idx val="1"/>
          <order val="1"/>
          <tx>
            <strRef>
              <f>'Team Aggregation'!E4</f>
            </strRef>
          </tx>
          <spPr>
            <a:ln>
              <a:prstDash val="solid"/>
            </a:ln>
          </spPr>
          <marker>
            <symbol val="none"/>
            <spPr>
              <a:ln>
                <a:prstDash val="solid"/>
              </a:ln>
            </spPr>
          </marker>
          <cat>
            <numRef>
              <f>'Team Aggregation'!$C$5:$C$12</f>
            </numRef>
          </cat>
          <val>
            <numRef>
              <f>'Team Aggregation'!$E$5:$E$12</f>
            </numRef>
          </val>
        </ser>
        <ser>
          <idx val="2"/>
          <order val="2"/>
          <tx>
            <strRef>
              <f>'Team Aggregation'!F4</f>
            </strRef>
          </tx>
          <spPr>
            <a:ln>
              <a:prstDash val="solid"/>
            </a:ln>
          </spPr>
          <marker>
            <symbol val="none"/>
            <spPr>
              <a:ln>
                <a:prstDash val="solid"/>
              </a:ln>
            </spPr>
          </marker>
          <cat>
            <numRef>
              <f>'Team Aggregation'!$C$5:$C$12</f>
            </numRef>
          </cat>
          <val>
            <numRef>
              <f>'Team Aggregation'!$F$5:$F$12</f>
            </numRef>
          </val>
        </ser>
        <ser>
          <idx val="3"/>
          <order val="3"/>
          <tx>
            <strRef>
              <f>'Team Aggregation'!G4</f>
            </strRef>
          </tx>
          <spPr>
            <a:ln>
              <a:prstDash val="solid"/>
            </a:ln>
          </spPr>
          <marker>
            <symbol val="none"/>
            <spPr>
              <a:ln>
                <a:prstDash val="solid"/>
              </a:ln>
            </spPr>
          </marker>
          <cat>
            <numRef>
              <f>'Team Aggregation'!$C$5:$C$12</f>
            </numRef>
          </cat>
          <val>
            <numRef>
              <f>'Team Aggregation'!$G$5:$G$12</f>
            </numRef>
          </val>
        </ser>
        <ser>
          <idx val="4"/>
          <order val="4"/>
          <tx>
            <strRef>
              <f>'Team Aggregation'!H4</f>
            </strRef>
          </tx>
          <spPr>
            <a:ln>
              <a:prstDash val="solid"/>
            </a:ln>
          </spPr>
          <marker>
            <symbol val="none"/>
            <spPr>
              <a:ln>
                <a:prstDash val="solid"/>
              </a:ln>
            </spPr>
          </marker>
          <cat>
            <numRef>
              <f>'Team Aggregation'!$C$5:$C$12</f>
            </numRef>
          </cat>
          <val>
            <numRef>
              <f>'Team Aggregation'!$H$5:$H$12</f>
            </numRef>
          </val>
        </ser>
        <ser>
          <idx val="5"/>
          <order val="5"/>
          <tx>
            <strRef>
              <f>'Team Aggregation'!I4</f>
            </strRef>
          </tx>
          <spPr>
            <a:ln>
              <a:prstDash val="solid"/>
            </a:ln>
          </spPr>
          <marker>
            <symbol val="none"/>
            <spPr>
              <a:ln>
                <a:prstDash val="solid"/>
              </a:ln>
            </spPr>
          </marker>
          <cat>
            <numRef>
              <f>'Team Aggregation'!$C$5:$C$12</f>
            </numRef>
          </cat>
          <val>
            <numRef>
              <f>'Team Aggregation'!$I$5:$I$12</f>
            </numRef>
          </val>
        </ser>
        <ser>
          <idx val="6"/>
          <order val="6"/>
          <tx>
            <strRef>
              <f>'Team Aggregation'!J4</f>
            </strRef>
          </tx>
          <spPr>
            <a:ln>
              <a:prstDash val="solid"/>
            </a:ln>
          </spPr>
          <marker>
            <symbol val="none"/>
            <spPr>
              <a:ln>
                <a:prstDash val="solid"/>
              </a:ln>
            </spPr>
          </marker>
          <cat>
            <numRef>
              <f>'Team Aggregation'!$C$5:$C$12</f>
            </numRef>
          </cat>
          <val>
            <numRef>
              <f>'Team Aggregation'!$J$5:$J$12</f>
            </numRef>
          </val>
        </ser>
        <ser>
          <idx val="7"/>
          <order val="7"/>
          <tx>
            <strRef>
              <f>'Team Aggregation'!K4</f>
            </strRef>
          </tx>
          <spPr>
            <a:ln>
              <a:prstDash val="solid"/>
            </a:ln>
          </spPr>
          <marker>
            <symbol val="none"/>
            <spPr>
              <a:ln>
                <a:prstDash val="solid"/>
              </a:ln>
            </spPr>
          </marker>
          <cat>
            <numRef>
              <f>'Team Aggregation'!$C$5:$C$12</f>
            </numRef>
          </cat>
          <val>
            <numRef>
              <f>'Team Aggregation'!$K$5:$K$12</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5</row>
      <rowOff>0</rowOff>
    </from>
    <ext cx="6480000" cy="57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7200000" cy="64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3B5BDB"/>
    <outlinePr summaryBelow="1" summaryRight="1"/>
    <pageSetUpPr/>
  </sheetPr>
  <dimension ref="B2:D42"/>
  <sheetViews>
    <sheetView workbookViewId="0">
      <selection activeCell="A1" sqref="A1"/>
    </sheetView>
  </sheetViews>
  <sheetFormatPr baseColWidth="8" defaultRowHeight="15"/>
  <cols>
    <col width="3" customWidth="1" min="1" max="1"/>
    <col width="22" customWidth="1" min="2" max="2"/>
    <col width="60" customWidth="1" min="3" max="3"/>
    <col width="22" customWidth="1" min="4" max="4"/>
  </cols>
  <sheetData>
    <row r="2" ht="36" customHeight="1">
      <c r="B2" s="1" t="inlineStr">
        <is>
          <t>⚙  Archetypes of Automation — Self-Assessment Workbook</t>
        </is>
      </c>
    </row>
    <row r="3" ht="22" customHeight="1">
      <c r="B3" s="2" t="inlineStr">
        <is>
          <t>Building Automation Muscle Without a Dev Team  ·  MSP/ITSP Framework</t>
        </is>
      </c>
    </row>
    <row r="5" ht="20" customHeight="1">
      <c r="B5" s="3" t="inlineStr">
        <is>
          <t>What is this workbook?</t>
        </is>
      </c>
    </row>
    <row r="6" ht="15" customHeight="1">
      <c r="B6" s="4" t="inlineStr">
        <is>
          <t>This workbook supports the Archetypes of Automation framework — a self-assessment tool that helps individuals and teams identify strengths and gaps across 8 dimensions of automation capability.</t>
        </is>
      </c>
    </row>
    <row r="7" ht="15" customHeight="1">
      <c r="B7" s="4" t="inlineStr">
        <is>
          <t>The biggest barrier to automation in small MSP teams is not technical skill — it is process thinking, team composition, and role awareness.</t>
        </is>
      </c>
    </row>
    <row r="9" ht="20" customHeight="1">
      <c r="B9" s="3" t="inlineStr">
        <is>
          <t>Sheets in this workbook</t>
        </is>
      </c>
    </row>
    <row r="10" ht="16" customHeight="1">
      <c r="B10" s="5" t="inlineStr">
        <is>
          <t>Individual Assessment  →  Score yourself 0–10 per archetype. Your radar chart updates automatically.</t>
        </is>
      </c>
    </row>
    <row r="11" ht="16" customHeight="1">
      <c r="B11" s="5" t="inlineStr">
        <is>
          <t>Team Aggregation       →  Enter each team member's scores to see the combined radar and gap analysis.</t>
        </is>
      </c>
    </row>
    <row r="12" ht="16" customHeight="1">
      <c r="B12" s="5" t="inlineStr">
        <is>
          <t>Framework Reference    →  Full sub-archetype list with descriptions and framework citations.</t>
        </is>
      </c>
    </row>
    <row r="14" ht="20" customHeight="1">
      <c r="B14" s="3" t="inlineStr">
        <is>
          <t>How to complete the Individual Assessment</t>
        </is>
      </c>
    </row>
    <row r="15" ht="15" customHeight="1">
      <c r="B15" s="4" t="inlineStr">
        <is>
          <t>1. Go to the 'Individual Assessment' sheet.</t>
        </is>
      </c>
    </row>
    <row r="16" ht="15" customHeight="1">
      <c r="B16" s="4" t="inlineStr">
        <is>
          <t>2. Enter your name in the yellow Name cell (row 4).</t>
        </is>
      </c>
    </row>
    <row r="17" ht="15" customHeight="1">
      <c r="B17" s="4" t="inlineStr">
        <is>
          <t>3. For each of the 8 archetypes, enter a score from 0–10 in the Score column.</t>
        </is>
      </c>
    </row>
    <row r="18" ht="15" customHeight="1">
      <c r="B18" s="4" t="inlineStr">
        <is>
          <t xml:space="preserve">   Use the dropdown — only whole numbers 0 through 10 are accepted.</t>
        </is>
      </c>
    </row>
    <row r="19" ht="15" customHeight="1">
      <c r="B19" s="4" t="inlineStr">
        <is>
          <t>4. Read the sub-archetype descriptions in the 'Framework Reference' sheet to calibrate your score.</t>
        </is>
      </c>
    </row>
    <row r="20" ht="15" customHeight="1">
      <c r="B20" s="4" t="inlineStr">
        <is>
          <t>5. Your radar chart will update automatically as you enter scores.</t>
        </is>
      </c>
    </row>
    <row r="21" ht="15" customHeight="1">
      <c r="B21" s="4" t="inlineStr">
        <is>
          <t>6. Your total and profile are shown below the score table.</t>
        </is>
      </c>
    </row>
    <row r="23" ht="20" customHeight="1">
      <c r="B23" s="3" t="inlineStr">
        <is>
          <t>Scoring Bands</t>
        </is>
      </c>
    </row>
    <row r="24" ht="15" customHeight="1">
      <c r="B24" s="4" t="inlineStr">
        <is>
          <t xml:space="preserve">  0–2: No awareness or capability; this lens is absent</t>
        </is>
      </c>
    </row>
    <row r="25" ht="15" customHeight="1">
      <c r="B25" s="4" t="inlineStr">
        <is>
          <t xml:space="preserve">  3–4: Emerging — some instinct but no structured practice</t>
        </is>
      </c>
    </row>
    <row r="26" ht="15" customHeight="1">
      <c r="B26" s="4" t="inlineStr">
        <is>
          <t xml:space="preserve">  5–6: Functional — can contribute meaningfully with some gaps</t>
        </is>
      </c>
    </row>
    <row r="27" ht="15" customHeight="1">
      <c r="B27" s="4" t="inlineStr">
        <is>
          <t xml:space="preserve">  7–8: Strong — reliable, practiced, others lean on you here</t>
        </is>
      </c>
    </row>
    <row r="28" ht="15" customHeight="1">
      <c r="B28" s="4" t="inlineStr">
        <is>
          <t xml:space="preserve">  9–10: Exceptional — this is a defining strength; you set the standard</t>
        </is>
      </c>
    </row>
    <row r="30" ht="20" customHeight="1">
      <c r="B30" s="3" t="inlineStr">
        <is>
          <t>Individual Score Profiles (Total out of 80)</t>
        </is>
      </c>
    </row>
    <row r="31" ht="15" customHeight="1">
      <c r="B31" s="4" t="inlineStr">
        <is>
          <t xml:space="preserve">  0–20  →  Automation Newcomer</t>
        </is>
      </c>
    </row>
    <row r="32" ht="15" customHeight="1">
      <c r="B32" s="4" t="inlineStr">
        <is>
          <t xml:space="preserve">  21–35  →  Developing Contributor</t>
        </is>
      </c>
    </row>
    <row r="33" ht="15" customHeight="1">
      <c r="B33" s="4" t="inlineStr">
        <is>
          <t xml:space="preserve">  36–50  →  Capable Generalist</t>
        </is>
      </c>
    </row>
    <row r="34" ht="15" customHeight="1">
      <c r="B34" s="4" t="inlineStr">
        <is>
          <t xml:space="preserve">  51–65  →  Strong Practitioner</t>
        </is>
      </c>
    </row>
    <row r="35" ht="15" customHeight="1">
      <c r="B35" s="4" t="inlineStr">
        <is>
          <t xml:space="preserve">  66–80  →  Automation All-Rounder</t>
        </is>
      </c>
    </row>
    <row r="37" ht="20" customHeight="1">
      <c r="B37" s="3" t="inlineStr">
        <is>
          <t>How to use Team Aggregation</t>
        </is>
      </c>
    </row>
    <row r="38" ht="15" customHeight="1">
      <c r="B38" s="4" t="inlineStr">
        <is>
          <t>1. Each person completes their individual assessment first.</t>
        </is>
      </c>
    </row>
    <row r="39" ht="15" customHeight="1">
      <c r="B39" s="4" t="inlineStr">
        <is>
          <t>2. Copy each person's scores into a column on the 'Team Aggregation' sheet.</t>
        </is>
      </c>
    </row>
    <row r="40" ht="15" customHeight="1">
      <c r="B40" s="4" t="inlineStr">
        <is>
          <t>3. The combined radar chart and gap analysis update automatically.</t>
        </is>
      </c>
    </row>
    <row r="41" ht="15" customHeight="1">
      <c r="B41" s="4" t="inlineStr">
        <is>
          <t>4. Look for coverage, not duplication — two 9s in Building with zero in Quality is a risk profile.</t>
        </is>
      </c>
    </row>
    <row r="42" ht="15" customHeight="1">
      <c r="B42" s="4" t="inlineStr">
        <is>
          <t>5. The archetype with the lowest combined average score = most urgent investment area.</t>
        </is>
      </c>
    </row>
  </sheetData>
  <mergeCells count="35">
    <mergeCell ref="B11:D11"/>
    <mergeCell ref="B42:D42"/>
    <mergeCell ref="B14:D14"/>
    <mergeCell ref="B23:D23"/>
    <mergeCell ref="B17:D17"/>
    <mergeCell ref="B38:D38"/>
    <mergeCell ref="B34:D34"/>
    <mergeCell ref="B10:D10"/>
    <mergeCell ref="B28:D28"/>
    <mergeCell ref="B19:D19"/>
    <mergeCell ref="B37:D37"/>
    <mergeCell ref="B40:D40"/>
    <mergeCell ref="B9:D9"/>
    <mergeCell ref="B30:D30"/>
    <mergeCell ref="B15:D15"/>
    <mergeCell ref="B6:D6"/>
    <mergeCell ref="B24:D24"/>
    <mergeCell ref="B20:D20"/>
    <mergeCell ref="B33:D33"/>
    <mergeCell ref="B5:D5"/>
    <mergeCell ref="B41:D41"/>
    <mergeCell ref="B32:D32"/>
    <mergeCell ref="B35:D35"/>
    <mergeCell ref="B26:D26"/>
    <mergeCell ref="B7:D7"/>
    <mergeCell ref="B25:D25"/>
    <mergeCell ref="B16:D16"/>
    <mergeCell ref="B3:D3"/>
    <mergeCell ref="B31:D31"/>
    <mergeCell ref="B18:D18"/>
    <mergeCell ref="B27:D27"/>
    <mergeCell ref="B21:D21"/>
    <mergeCell ref="B12:D12"/>
    <mergeCell ref="B39:D39"/>
    <mergeCell ref="B2:D2"/>
  </mergeCells>
  <pageMargins left="0.75" right="0.75" top="1" bottom="1" header="0.5" footer="0.5"/>
</worksheet>
</file>

<file path=xl/worksheets/sheet2.xml><?xml version="1.0" encoding="utf-8"?>
<worksheet xmlns="http://schemas.openxmlformats.org/spreadsheetml/2006/main">
  <sheetPr>
    <tabColor rgb="003B5BDB"/>
    <outlinePr summaryBelow="1" summaryRight="1"/>
    <pageSetUpPr/>
  </sheetPr>
  <dimension ref="B1:F16"/>
  <sheetViews>
    <sheetView showGridLines="0" workbookViewId="0">
      <selection activeCell="A1" sqref="A1"/>
    </sheetView>
  </sheetViews>
  <sheetFormatPr baseColWidth="8" defaultRowHeight="15"/>
  <cols>
    <col width="3" customWidth="1" min="1" max="1"/>
    <col width="4" customWidth="1" min="2" max="2"/>
    <col width="32" customWidth="1" min="3" max="3"/>
    <col width="40" customWidth="1" min="4" max="4"/>
    <col width="10" customWidth="1" min="5" max="5"/>
    <col width="28" customWidth="1" min="6" max="6"/>
    <col width="3" customWidth="1" min="7" max="7"/>
  </cols>
  <sheetData>
    <row r="1" ht="32" customHeight="1">
      <c r="B1" s="6" t="inlineStr">
        <is>
          <t>Archetypes of Automation — Individual Self-Assessment</t>
        </is>
      </c>
    </row>
    <row r="3" ht="24" customHeight="1">
      <c r="B3" s="7" t="inlineStr">
        <is>
          <t>Name:</t>
        </is>
      </c>
      <c r="C3" s="8" t="inlineStr">
        <is>
          <t>← Enter your name here</t>
        </is>
      </c>
    </row>
    <row r="5" ht="28" customHeight="1">
      <c r="B5" s="9" t="inlineStr">
        <is>
          <t>#</t>
        </is>
      </c>
      <c r="C5" s="9" t="inlineStr">
        <is>
          <t>Archetype</t>
        </is>
      </c>
      <c r="D5" s="9" t="inlineStr">
        <is>
          <t>Description</t>
        </is>
      </c>
      <c r="E5" s="9" t="inlineStr">
        <is>
          <t>Score
(0–10)</t>
        </is>
      </c>
      <c r="F5" s="9" t="inlineStr">
        <is>
          <t>Band</t>
        </is>
      </c>
    </row>
    <row r="6" ht="36" customHeight="1">
      <c r="B6" s="10" t="n">
        <v>1</v>
      </c>
      <c r="C6" s="11" t="inlineStr">
        <is>
          <t>Process &amp; Knowledge Holding</t>
        </is>
      </c>
      <c r="D6" s="12" t="inlineStr">
        <is>
          <t>Understanding, retaining, and communicating how work actually happens</t>
        </is>
      </c>
      <c r="E6" s="13" t="n">
        <v>0</v>
      </c>
      <c r="F6" s="14">
        <f>IF(E6&lt;=2,"0–2: No awareness; this lens is absent",IF(E6&lt;=4,"3–4: Emerging — some instinct, no structured practice",IF(E6&lt;=6,"5–6: Functional — can contribute with some gaps",IF(E6&lt;=8,"7–8: Strong — reliable; others lean on you here","9–10: Exceptional — this is a defining strength"))))</f>
        <v/>
      </c>
    </row>
    <row r="7" ht="36" customHeight="1">
      <c r="B7" s="10" t="n">
        <v>2</v>
      </c>
      <c r="C7" s="15" t="inlineStr">
        <is>
          <t>Problem Definition</t>
        </is>
      </c>
      <c r="D7" s="16" t="inlineStr">
        <is>
          <t>Identifying, articulating, and prioritizing what is worth automating</t>
        </is>
      </c>
      <c r="E7" s="13" t="n">
        <v>0</v>
      </c>
      <c r="F7" s="17">
        <f>IF(E7&lt;=2,"0–2: No awareness; this lens is absent",IF(E7&lt;=4,"3–4: Emerging — some instinct, no structured practice",IF(E7&lt;=6,"5–6: Functional — can contribute with some gaps",IF(E7&lt;=8,"7–8: Strong — reliable; others lean on you here","9–10: Exceptional — this is a defining strength"))))</f>
        <v/>
      </c>
    </row>
    <row r="8" ht="36" customHeight="1">
      <c r="B8" s="10" t="n">
        <v>3</v>
      </c>
      <c r="C8" s="11" t="inlineStr">
        <is>
          <t>Design &amp; Logic Thinking</t>
        </is>
      </c>
      <c r="D8" s="12" t="inlineStr">
        <is>
          <t>Translating real-world processes into explicit logic before touching any tool</t>
        </is>
      </c>
      <c r="E8" s="13" t="n">
        <v>0</v>
      </c>
      <c r="F8" s="14">
        <f>IF(E8&lt;=2,"0–2: No awareness; this lens is absent",IF(E8&lt;=4,"3–4: Emerging — some instinct, no structured practice",IF(E8&lt;=6,"5–6: Functional — can contribute with some gaps",IF(E8&lt;=8,"7–8: Strong — reliable; others lean on you here","9–10: Exceptional — this is a defining strength"))))</f>
        <v/>
      </c>
    </row>
    <row r="9" ht="36" customHeight="1">
      <c r="B9" s="10" t="n">
        <v>4</v>
      </c>
      <c r="C9" s="15" t="inlineStr">
        <is>
          <t>Communication &amp; Translation</t>
        </is>
      </c>
      <c r="D9" s="16" t="inlineStr">
        <is>
          <t>Bridging the gap between process owners and builders</t>
        </is>
      </c>
      <c r="E9" s="13" t="n">
        <v>0</v>
      </c>
      <c r="F9" s="17">
        <f>IF(E9&lt;=2,"0–2: No awareness; this lens is absent",IF(E9&lt;=4,"3–4: Emerging — some instinct, no structured practice",IF(E9&lt;=6,"5–6: Functional — can contribute with some gaps",IF(E9&lt;=8,"7–8: Strong — reliable; others lean on you here","9–10: Exceptional — this is a defining strength"))))</f>
        <v/>
      </c>
    </row>
    <row r="10" ht="36" customHeight="1">
      <c r="B10" s="10" t="n">
        <v>5</v>
      </c>
      <c r="C10" s="11" t="inlineStr">
        <is>
          <t>Building &amp; Implementation</t>
        </is>
      </c>
      <c r="D10" s="12" t="inlineStr">
        <is>
          <t>Constructing automations using tools, AI, or both</t>
        </is>
      </c>
      <c r="E10" s="13" t="n">
        <v>0</v>
      </c>
      <c r="F10" s="14">
        <f>IF(E10&lt;=2,"0–2: No awareness; this lens is absent",IF(E10&lt;=4,"3–4: Emerging — some instinct, no structured practice",IF(E10&lt;=6,"5–6: Functional — can contribute with some gaps",IF(E10&lt;=8,"7–8: Strong — reliable; others lean on you here","9–10: Exceptional — this is a defining strength"))))</f>
        <v/>
      </c>
    </row>
    <row r="11" ht="36" customHeight="1">
      <c r="B11" s="10" t="n">
        <v>6</v>
      </c>
      <c r="C11" s="15" t="inlineStr">
        <is>
          <t>Quality &amp; Oversight</t>
        </is>
      </c>
      <c r="D11" s="16" t="inlineStr">
        <is>
          <t>Verifying automations work correctly, including failure scenarios</t>
        </is>
      </c>
      <c r="E11" s="13" t="n">
        <v>0</v>
      </c>
      <c r="F11" s="17">
        <f>IF(E11&lt;=2,"0–2: No awareness; this lens is absent",IF(E11&lt;=4,"3–4: Emerging — some instinct, no structured practice",IF(E11&lt;=6,"5–6: Functional — can contribute with some gaps",IF(E11&lt;=8,"7–8: Strong — reliable; others lean on you here","9–10: Exceptional — this is a defining strength"))))</f>
        <v/>
      </c>
    </row>
    <row r="12" ht="36" customHeight="1">
      <c r="B12" s="10" t="n">
        <v>7</v>
      </c>
      <c r="C12" s="11" t="inlineStr">
        <is>
          <t>Human &amp; Organizational Awareness</t>
        </is>
      </c>
      <c r="D12" s="12" t="inlineStr">
        <is>
          <t>Managing adoption, resistance, ownership, and compliance</t>
        </is>
      </c>
      <c r="E12" s="13" t="n">
        <v>0</v>
      </c>
      <c r="F12" s="14">
        <f>IF(E12&lt;=2,"0–2: No awareness; this lens is absent",IF(E12&lt;=4,"3–4: Emerging — some instinct, no structured practice",IF(E12&lt;=6,"5–6: Functional — can contribute with some gaps",IF(E12&lt;=8,"7–8: Strong — reliable; others lean on you here","9–10: Exceptional — this is a defining strength"))))</f>
        <v/>
      </c>
    </row>
    <row r="13" ht="36" customHeight="1">
      <c r="B13" s="10" t="n">
        <v>8</v>
      </c>
      <c r="C13" s="15" t="inlineStr">
        <is>
          <t>Strategic &amp; Vision Thinking</t>
        </is>
      </c>
      <c r="D13" s="16" t="inlineStr">
        <is>
          <t>Connecting automation work to measurable business outcomes</t>
        </is>
      </c>
      <c r="E13" s="13" t="n">
        <v>0</v>
      </c>
      <c r="F13" s="17">
        <f>IF(E13&lt;=2,"0–2: No awareness; this lens is absent",IF(E13&lt;=4,"3–4: Emerging — some instinct, no structured practice",IF(E13&lt;=6,"5–6: Functional — can contribute with some gaps",IF(E13&lt;=8,"7–8: Strong — reliable; others lean on you here","9–10: Exceptional — this is a defining strength"))))</f>
        <v/>
      </c>
    </row>
    <row r="15" ht="30" customHeight="1">
      <c r="B15" s="18" t="inlineStr">
        <is>
          <t>Total Score</t>
        </is>
      </c>
      <c r="E15" s="19">
        <f>SUM(E6:E13)</f>
        <v/>
      </c>
    </row>
    <row r="16" ht="28" customHeight="1">
      <c r="B16" s="20" t="inlineStr">
        <is>
          <t>Profile</t>
        </is>
      </c>
      <c r="E16" s="21">
        <f>IF(E15&lt;=20,"Automation Newcomer",IF(E15&lt;=35,"Developing Contributor",IF(E15&lt;=50,"Capable Generalist",IF(E15&lt;=65,"Strong Practitioner","Automation All-Rounder"))))</f>
        <v/>
      </c>
      <c r="F16" s="22" t="n"/>
    </row>
  </sheetData>
  <mergeCells count="5">
    <mergeCell ref="E16:F16"/>
    <mergeCell ref="B1:F1"/>
    <mergeCell ref="B15:D15"/>
    <mergeCell ref="C3:D3"/>
    <mergeCell ref="B16:D16"/>
  </mergeCells>
  <conditionalFormatting sqref="E6:E13">
    <cfRule type="colorScale" priority="1">
      <colorScale>
        <cfvo type="num" val="0"/>
        <cfvo type="num" val="5"/>
        <cfvo type="num" val="10"/>
        <color rgb="FFADB5BD"/>
        <color rgb="FFFFD700"/>
        <color rgb="FF2B8A3E"/>
      </colorScale>
    </cfRule>
  </conditionalFormatting>
  <dataValidations count="1">
    <dataValidation sqref="E6 E7 E8 E9 E10 E11 E12 E13" showDropDown="0" showInputMessage="1" showErrorMessage="1" allowBlank="0" errorTitle="Invalid score" error="Please enter a whole number from 0 to 10." promptTitle="Score 0–10" prompt="Enter a whole number from 0 to 10." type="whole" operator="between">
      <formula1>0</formula1>
      <formula2>10</formula2>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7048E8"/>
    <outlinePr summaryBelow="1" summaryRight="1"/>
    <pageSetUpPr/>
  </sheetPr>
  <dimension ref="B1:L23"/>
  <sheetViews>
    <sheetView showGridLines="0" workbookViewId="0">
      <selection activeCell="A1" sqref="A1"/>
    </sheetView>
  </sheetViews>
  <sheetFormatPr baseColWidth="8" defaultRowHeight="15"/>
  <cols>
    <col width="3" customWidth="1" min="1" max="1"/>
    <col width="4" customWidth="1" min="2" max="2"/>
    <col width="30"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0" customWidth="1" min="12" max="12"/>
    <col width="3" customWidth="1" min="13" max="13"/>
  </cols>
  <sheetData>
    <row r="1" ht="32" customHeight="1">
      <c r="B1" s="6" t="inlineStr">
        <is>
          <t>Archetypes of Automation — Team Aggregation</t>
        </is>
      </c>
    </row>
    <row r="2" ht="18" customHeight="1">
      <c r="B2" s="23" t="inlineStr">
        <is>
          <t>Enter each team member's scores below. The radar chart and gap analysis update automatically.</t>
        </is>
      </c>
    </row>
    <row r="3" ht="18" customHeight="1">
      <c r="D3" s="24" t="inlineStr">
        <is>
          <t>Member 1 →</t>
        </is>
      </c>
      <c r="E3" s="24" t="inlineStr">
        <is>
          <t>Member 2 →</t>
        </is>
      </c>
      <c r="F3" s="24" t="inlineStr">
        <is>
          <t>Member 3 →</t>
        </is>
      </c>
      <c r="G3" s="24" t="inlineStr">
        <is>
          <t>Member 4 →</t>
        </is>
      </c>
      <c r="H3" s="24" t="inlineStr">
        <is>
          <t>Member 5 →</t>
        </is>
      </c>
      <c r="I3" s="24" t="inlineStr">
        <is>
          <t>Member 6 →</t>
        </is>
      </c>
      <c r="J3" s="24" t="inlineStr">
        <is>
          <t>Member 7 →</t>
        </is>
      </c>
      <c r="K3" s="24" t="inlineStr">
        <is>
          <t>Member 8 →</t>
        </is>
      </c>
    </row>
    <row r="4" ht="24" customHeight="1">
      <c r="B4" s="25" t="inlineStr">
        <is>
          <t>#</t>
        </is>
      </c>
      <c r="C4" s="25" t="inlineStr">
        <is>
          <t>Archetype</t>
        </is>
      </c>
      <c r="D4" s="25" t="inlineStr">
        <is>
          <t>Member 1</t>
        </is>
      </c>
      <c r="E4" s="26" t="inlineStr">
        <is>
          <t>Member 2</t>
        </is>
      </c>
      <c r="F4" s="25" t="inlineStr">
        <is>
          <t>Member 3</t>
        </is>
      </c>
      <c r="G4" s="26" t="inlineStr">
        <is>
          <t>Member 4</t>
        </is>
      </c>
      <c r="H4" s="25" t="inlineStr">
        <is>
          <t>Member 5</t>
        </is>
      </c>
      <c r="I4" s="26" t="inlineStr">
        <is>
          <t>Member 6</t>
        </is>
      </c>
      <c r="J4" s="25" t="inlineStr">
        <is>
          <t>Member 7</t>
        </is>
      </c>
      <c r="K4" s="26" t="inlineStr">
        <is>
          <t>Member 8</t>
        </is>
      </c>
      <c r="L4" s="25" t="inlineStr">
        <is>
          <t>Avg</t>
        </is>
      </c>
    </row>
    <row r="5" ht="30" customHeight="1">
      <c r="B5" s="10" t="n">
        <v>1</v>
      </c>
      <c r="C5" s="11" t="inlineStr">
        <is>
          <t>Process &amp; Knowledge Holding</t>
        </is>
      </c>
      <c r="D5" s="27" t="n">
        <v>0</v>
      </c>
      <c r="E5" s="28" t="n">
        <v>0</v>
      </c>
      <c r="F5" s="27" t="n">
        <v>0</v>
      </c>
      <c r="G5" s="28" t="n">
        <v>0</v>
      </c>
      <c r="H5" s="27" t="n">
        <v>0</v>
      </c>
      <c r="I5" s="28" t="n">
        <v>0</v>
      </c>
      <c r="J5" s="27" t="n">
        <v>0</v>
      </c>
      <c r="K5" s="28" t="n">
        <v>0</v>
      </c>
      <c r="L5" s="29">
        <f>AVERAGE(D5:K5)</f>
        <v/>
      </c>
    </row>
    <row r="6" ht="30" customHeight="1">
      <c r="B6" s="10" t="n">
        <v>2</v>
      </c>
      <c r="C6" s="15" t="inlineStr">
        <is>
          <t>Problem Definition</t>
        </is>
      </c>
      <c r="D6" s="27" t="n">
        <v>0</v>
      </c>
      <c r="E6" s="28" t="n">
        <v>0</v>
      </c>
      <c r="F6" s="27" t="n">
        <v>0</v>
      </c>
      <c r="G6" s="28" t="n">
        <v>0</v>
      </c>
      <c r="H6" s="27" t="n">
        <v>0</v>
      </c>
      <c r="I6" s="28" t="n">
        <v>0</v>
      </c>
      <c r="J6" s="27" t="n">
        <v>0</v>
      </c>
      <c r="K6" s="28" t="n">
        <v>0</v>
      </c>
      <c r="L6" s="29">
        <f>AVERAGE(D6:K6)</f>
        <v/>
      </c>
    </row>
    <row r="7" ht="30" customHeight="1">
      <c r="B7" s="10" t="n">
        <v>3</v>
      </c>
      <c r="C7" s="11" t="inlineStr">
        <is>
          <t>Design &amp; Logic Thinking</t>
        </is>
      </c>
      <c r="D7" s="27" t="n">
        <v>0</v>
      </c>
      <c r="E7" s="28" t="n">
        <v>0</v>
      </c>
      <c r="F7" s="27" t="n">
        <v>0</v>
      </c>
      <c r="G7" s="28" t="n">
        <v>0</v>
      </c>
      <c r="H7" s="27" t="n">
        <v>0</v>
      </c>
      <c r="I7" s="28" t="n">
        <v>0</v>
      </c>
      <c r="J7" s="27" t="n">
        <v>0</v>
      </c>
      <c r="K7" s="28" t="n">
        <v>0</v>
      </c>
      <c r="L7" s="29">
        <f>AVERAGE(D7:K7)</f>
        <v/>
      </c>
    </row>
    <row r="8" ht="30" customHeight="1">
      <c r="B8" s="10" t="n">
        <v>4</v>
      </c>
      <c r="C8" s="15" t="inlineStr">
        <is>
          <t>Communication &amp; Translation</t>
        </is>
      </c>
      <c r="D8" s="27" t="n">
        <v>0</v>
      </c>
      <c r="E8" s="28" t="n">
        <v>0</v>
      </c>
      <c r="F8" s="27" t="n">
        <v>0</v>
      </c>
      <c r="G8" s="28" t="n">
        <v>0</v>
      </c>
      <c r="H8" s="27" t="n">
        <v>0</v>
      </c>
      <c r="I8" s="28" t="n">
        <v>0</v>
      </c>
      <c r="J8" s="27" t="n">
        <v>0</v>
      </c>
      <c r="K8" s="28" t="n">
        <v>0</v>
      </c>
      <c r="L8" s="29">
        <f>AVERAGE(D8:K8)</f>
        <v/>
      </c>
    </row>
    <row r="9" ht="30" customHeight="1">
      <c r="B9" s="10" t="n">
        <v>5</v>
      </c>
      <c r="C9" s="11" t="inlineStr">
        <is>
          <t>Building &amp; Implementation</t>
        </is>
      </c>
      <c r="D9" s="27" t="n">
        <v>0</v>
      </c>
      <c r="E9" s="28" t="n">
        <v>0</v>
      </c>
      <c r="F9" s="27" t="n">
        <v>0</v>
      </c>
      <c r="G9" s="28" t="n">
        <v>0</v>
      </c>
      <c r="H9" s="27" t="n">
        <v>0</v>
      </c>
      <c r="I9" s="28" t="n">
        <v>0</v>
      </c>
      <c r="J9" s="27" t="n">
        <v>0</v>
      </c>
      <c r="K9" s="28" t="n">
        <v>0</v>
      </c>
      <c r="L9" s="29">
        <f>AVERAGE(D9:K9)</f>
        <v/>
      </c>
    </row>
    <row r="10" ht="30" customHeight="1">
      <c r="B10" s="10" t="n">
        <v>6</v>
      </c>
      <c r="C10" s="15" t="inlineStr">
        <is>
          <t>Quality &amp; Oversight</t>
        </is>
      </c>
      <c r="D10" s="27" t="n">
        <v>0</v>
      </c>
      <c r="E10" s="28" t="n">
        <v>0</v>
      </c>
      <c r="F10" s="27" t="n">
        <v>0</v>
      </c>
      <c r="G10" s="28" t="n">
        <v>0</v>
      </c>
      <c r="H10" s="27" t="n">
        <v>0</v>
      </c>
      <c r="I10" s="28" t="n">
        <v>0</v>
      </c>
      <c r="J10" s="27" t="n">
        <v>0</v>
      </c>
      <c r="K10" s="28" t="n">
        <v>0</v>
      </c>
      <c r="L10" s="29">
        <f>AVERAGE(D10:K10)</f>
        <v/>
      </c>
    </row>
    <row r="11" ht="30" customHeight="1">
      <c r="B11" s="10" t="n">
        <v>7</v>
      </c>
      <c r="C11" s="11" t="inlineStr">
        <is>
          <t>Human &amp; Organizational Awareness</t>
        </is>
      </c>
      <c r="D11" s="27" t="n">
        <v>0</v>
      </c>
      <c r="E11" s="28" t="n">
        <v>0</v>
      </c>
      <c r="F11" s="27" t="n">
        <v>0</v>
      </c>
      <c r="G11" s="28" t="n">
        <v>0</v>
      </c>
      <c r="H11" s="27" t="n">
        <v>0</v>
      </c>
      <c r="I11" s="28" t="n">
        <v>0</v>
      </c>
      <c r="J11" s="27" t="n">
        <v>0</v>
      </c>
      <c r="K11" s="28" t="n">
        <v>0</v>
      </c>
      <c r="L11" s="29">
        <f>AVERAGE(D11:K11)</f>
        <v/>
      </c>
    </row>
    <row r="12" ht="30" customHeight="1">
      <c r="B12" s="10" t="n">
        <v>8</v>
      </c>
      <c r="C12" s="15" t="inlineStr">
        <is>
          <t>Strategic &amp; Vision Thinking</t>
        </is>
      </c>
      <c r="D12" s="27" t="n">
        <v>0</v>
      </c>
      <c r="E12" s="28" t="n">
        <v>0</v>
      </c>
      <c r="F12" s="27" t="n">
        <v>0</v>
      </c>
      <c r="G12" s="28" t="n">
        <v>0</v>
      </c>
      <c r="H12" s="27" t="n">
        <v>0</v>
      </c>
      <c r="I12" s="28" t="n">
        <v>0</v>
      </c>
      <c r="J12" s="27" t="n">
        <v>0</v>
      </c>
      <c r="K12" s="28" t="n">
        <v>0</v>
      </c>
      <c r="L12" s="29">
        <f>AVERAGE(D12:K12)</f>
        <v/>
      </c>
    </row>
    <row r="13" ht="28" customHeight="1">
      <c r="B13" s="10" t="inlineStr">
        <is>
          <t>Totals (sum)</t>
        </is>
      </c>
      <c r="D13" s="30">
        <f>SUM(D5:D12)</f>
        <v/>
      </c>
      <c r="E13" s="30">
        <f>SUM(E5:E12)</f>
        <v/>
      </c>
      <c r="F13" s="30">
        <f>SUM(F5:F12)</f>
        <v/>
      </c>
      <c r="G13" s="30">
        <f>SUM(G5:G12)</f>
        <v/>
      </c>
      <c r="H13" s="30">
        <f>SUM(H5:H12)</f>
        <v/>
      </c>
      <c r="I13" s="30">
        <f>SUM(I5:I12)</f>
        <v/>
      </c>
      <c r="J13" s="30">
        <f>SUM(J5:J12)</f>
        <v/>
      </c>
      <c r="K13" s="30">
        <f>SUM(K5:K12)</f>
        <v/>
      </c>
      <c r="L13" s="31">
        <f>AVERAGE(D13:K13)</f>
        <v/>
      </c>
    </row>
    <row r="15" ht="22" customHeight="1">
      <c r="B15" s="32" t="inlineStr">
        <is>
          <t>Gap Analysis — Average by Archetype (lower = bigger gap)</t>
        </is>
      </c>
      <c r="L15" s="33" t="inlineStr">
        <is>
          <t>Avg</t>
        </is>
      </c>
    </row>
    <row r="16" ht="18" customHeight="1">
      <c r="B16" s="34" t="n">
        <v>1</v>
      </c>
      <c r="C16" s="35" t="inlineStr">
        <is>
          <t>Process &amp; Knowledge Holding</t>
        </is>
      </c>
      <c r="L16" s="36">
        <f>L5</f>
        <v/>
      </c>
    </row>
    <row r="17" ht="18" customHeight="1">
      <c r="B17" s="34" t="n">
        <v>2</v>
      </c>
      <c r="C17" s="35" t="inlineStr">
        <is>
          <t>Problem Definition</t>
        </is>
      </c>
      <c r="L17" s="36">
        <f>L6</f>
        <v/>
      </c>
    </row>
    <row r="18" ht="18" customHeight="1">
      <c r="B18" s="34" t="n">
        <v>3</v>
      </c>
      <c r="C18" s="35" t="inlineStr">
        <is>
          <t>Design &amp; Logic Thinking</t>
        </is>
      </c>
      <c r="L18" s="36">
        <f>L7</f>
        <v/>
      </c>
    </row>
    <row r="19" ht="18" customHeight="1">
      <c r="B19" s="34" t="n">
        <v>4</v>
      </c>
      <c r="C19" s="35" t="inlineStr">
        <is>
          <t>Communication &amp; Translation</t>
        </is>
      </c>
      <c r="L19" s="36">
        <f>L8</f>
        <v/>
      </c>
    </row>
    <row r="20" ht="18" customHeight="1">
      <c r="B20" s="34" t="n">
        <v>5</v>
      </c>
      <c r="C20" s="35" t="inlineStr">
        <is>
          <t>Building &amp; Implementation</t>
        </is>
      </c>
      <c r="L20" s="36">
        <f>L9</f>
        <v/>
      </c>
    </row>
    <row r="21" ht="18" customHeight="1">
      <c r="B21" s="34" t="n">
        <v>6</v>
      </c>
      <c r="C21" s="35" t="inlineStr">
        <is>
          <t>Quality &amp; Oversight</t>
        </is>
      </c>
      <c r="L21" s="36">
        <f>L10</f>
        <v/>
      </c>
    </row>
    <row r="22" ht="18" customHeight="1">
      <c r="B22" s="34" t="n">
        <v>7</v>
      </c>
      <c r="C22" s="35" t="inlineStr">
        <is>
          <t>Human &amp; Organizational Awareness</t>
        </is>
      </c>
      <c r="L22" s="36">
        <f>L11</f>
        <v/>
      </c>
    </row>
    <row r="23" ht="18" customHeight="1">
      <c r="B23" s="34" t="n">
        <v>8</v>
      </c>
      <c r="C23" s="35" t="inlineStr">
        <is>
          <t>Strategic &amp; Vision Thinking</t>
        </is>
      </c>
      <c r="L23" s="36">
        <f>L12</f>
        <v/>
      </c>
    </row>
  </sheetData>
  <mergeCells count="4">
    <mergeCell ref="B13:C13"/>
    <mergeCell ref="B1:K1"/>
    <mergeCell ref="B15:C15"/>
    <mergeCell ref="B2:K2"/>
  </mergeCells>
  <conditionalFormatting sqref="D5:D12">
    <cfRule type="colorScale" priority="1">
      <colorScale>
        <cfvo type="num" val="0"/>
        <cfvo type="num" val="5"/>
        <cfvo type="num" val="10"/>
        <color rgb="FFADB5BD"/>
        <color rgb="FFFFD700"/>
        <color rgb="FF2B8A3E"/>
      </colorScale>
    </cfRule>
  </conditionalFormatting>
  <conditionalFormatting sqref="E5:E12">
    <cfRule type="colorScale" priority="2">
      <colorScale>
        <cfvo type="num" val="0"/>
        <cfvo type="num" val="5"/>
        <cfvo type="num" val="10"/>
        <color rgb="FFADB5BD"/>
        <color rgb="FFFFD700"/>
        <color rgb="FF2B8A3E"/>
      </colorScale>
    </cfRule>
  </conditionalFormatting>
  <conditionalFormatting sqref="F5:F12">
    <cfRule type="colorScale" priority="3">
      <colorScale>
        <cfvo type="num" val="0"/>
        <cfvo type="num" val="5"/>
        <cfvo type="num" val="10"/>
        <color rgb="FFADB5BD"/>
        <color rgb="FFFFD700"/>
        <color rgb="FF2B8A3E"/>
      </colorScale>
    </cfRule>
  </conditionalFormatting>
  <conditionalFormatting sqref="G5:G12">
    <cfRule type="colorScale" priority="4">
      <colorScale>
        <cfvo type="num" val="0"/>
        <cfvo type="num" val="5"/>
        <cfvo type="num" val="10"/>
        <color rgb="FFADB5BD"/>
        <color rgb="FFFFD700"/>
        <color rgb="FF2B8A3E"/>
      </colorScale>
    </cfRule>
  </conditionalFormatting>
  <conditionalFormatting sqref="H5:H12">
    <cfRule type="colorScale" priority="5">
      <colorScale>
        <cfvo type="num" val="0"/>
        <cfvo type="num" val="5"/>
        <cfvo type="num" val="10"/>
        <color rgb="FFADB5BD"/>
        <color rgb="FFFFD700"/>
        <color rgb="FF2B8A3E"/>
      </colorScale>
    </cfRule>
  </conditionalFormatting>
  <conditionalFormatting sqref="I5:I12">
    <cfRule type="colorScale" priority="6">
      <colorScale>
        <cfvo type="num" val="0"/>
        <cfvo type="num" val="5"/>
        <cfvo type="num" val="10"/>
        <color rgb="FFADB5BD"/>
        <color rgb="FFFFD700"/>
        <color rgb="FF2B8A3E"/>
      </colorScale>
    </cfRule>
  </conditionalFormatting>
  <conditionalFormatting sqref="J5:J12">
    <cfRule type="colorScale" priority="7">
      <colorScale>
        <cfvo type="num" val="0"/>
        <cfvo type="num" val="5"/>
        <cfvo type="num" val="10"/>
        <color rgb="FFADB5BD"/>
        <color rgb="FFFFD700"/>
        <color rgb="FF2B8A3E"/>
      </colorScale>
    </cfRule>
  </conditionalFormatting>
  <conditionalFormatting sqref="K5:K12">
    <cfRule type="colorScale" priority="8">
      <colorScale>
        <cfvo type="num" val="0"/>
        <cfvo type="num" val="5"/>
        <cfvo type="num" val="10"/>
        <color rgb="FFADB5BD"/>
        <color rgb="FFFFD700"/>
        <color rgb="FF2B8A3E"/>
      </colorScale>
    </cfRule>
  </conditionalFormatting>
  <conditionalFormatting sqref="L16:L23">
    <cfRule type="colorScale" priority="9">
      <colorScale>
        <cfvo type="num" val="0"/>
        <cfvo type="num" val="5"/>
        <cfvo type="num" val="10"/>
        <color rgb="FFE03131"/>
        <color rgb="FFFFD700"/>
        <color rgb="FF2B8A3E"/>
      </colorScale>
    </cfRule>
  </conditionalFormatting>
  <dataValidations count="1">
    <dataValidation sqref="D5 D6 D7 D8 D9 D10 D11 D12 E5 E6 E7 E8 E9 E10 E11 E12 F5 F6 F7 F8 F9 F10 F11 F12 G5 G6 G7 G8 G9 G10 G11 G12 H5 H6 H7 H8 H9 H10 H11 H12 I5 I6 I7 I8 I9 I10 I11 I12 J5 J6 J7 J8 J9 J10 J11 J12 K5 K6 K7 K8 K9 K10 K11 K12" showDropDown="0" showInputMessage="1" showErrorMessage="1" allowBlank="0" errorTitle="Invalid" error="Enter 0–10." promptTitle="Score 0–10" prompt="Enter a whole number from 0 to 10." type="whole" operator="between">
      <formula1>0</formula1>
      <formula2>10</formula2>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2B8A3E"/>
    <outlinePr summaryBelow="1" summaryRight="1"/>
    <pageSetUpPr/>
  </sheetPr>
  <dimension ref="B1:F36"/>
  <sheetViews>
    <sheetView showGridLines="0" workbookViewId="0">
      <selection activeCell="A1" sqref="A1"/>
    </sheetView>
  </sheetViews>
  <sheetFormatPr baseColWidth="8" defaultRowHeight="15"/>
  <cols>
    <col width="3" customWidth="1" min="1" max="1"/>
    <col width="4" customWidth="1" min="2" max="2"/>
    <col width="30" customWidth="1" min="3" max="3"/>
    <col width="28" customWidth="1" min="4" max="4"/>
    <col width="38" customWidth="1" min="5" max="5"/>
    <col width="34" customWidth="1" min="6" max="6"/>
    <col width="3" customWidth="1" min="7" max="7"/>
  </cols>
  <sheetData>
    <row r="1" ht="32" customHeight="1">
      <c r="B1" s="6" t="inlineStr">
        <is>
          <t>Archetypes of Automation — Framework Reference</t>
        </is>
      </c>
    </row>
    <row r="3" ht="24" customHeight="1">
      <c r="B3" s="37" t="inlineStr">
        <is>
          <t>#</t>
        </is>
      </c>
      <c r="C3" s="37" t="inlineStr">
        <is>
          <t>Archetype</t>
        </is>
      </c>
      <c r="D3" s="37" t="inlineStr">
        <is>
          <t>Sub-Archetype</t>
        </is>
      </c>
      <c r="E3" s="37" t="inlineStr">
        <is>
          <t>Role / Strength</t>
        </is>
      </c>
      <c r="F3" s="37" t="inlineStr">
        <is>
          <t>Framework Citation</t>
        </is>
      </c>
    </row>
    <row r="4" ht="22" customHeight="1">
      <c r="B4" s="10" t="n">
        <v>1</v>
      </c>
      <c r="C4" s="38" t="inlineStr">
        <is>
          <t>Process &amp; Knowledge Holding</t>
        </is>
      </c>
      <c r="D4" s="39" t="inlineStr">
        <is>
          <t>The Tribal Knowledge Keeper</t>
        </is>
      </c>
      <c r="E4" s="40" t="inlineStr">
        <is>
          <t>Holds undocumented 'real' process knowledge</t>
        </is>
      </c>
      <c r="F4" s="41" t="inlineStr">
        <is>
          <t>Nonaka &amp; Takeuchi</t>
        </is>
      </c>
    </row>
    <row r="5" ht="22" customHeight="1">
      <c r="B5" s="42" t="n"/>
      <c r="C5" s="42" t="n"/>
      <c r="D5" s="39" t="inlineStr">
        <is>
          <t>The Exception Whisperer</t>
        </is>
      </c>
      <c r="E5" s="40" t="inlineStr">
        <is>
          <t>Knows every edge case</t>
        </is>
      </c>
      <c r="F5" s="41" t="inlineStr">
        <is>
          <t>FMEA; Agile edge case testing</t>
        </is>
      </c>
    </row>
    <row r="6" ht="22" customHeight="1">
      <c r="B6" s="42" t="n"/>
      <c r="C6" s="42" t="n"/>
      <c r="D6" s="39" t="inlineStr">
        <is>
          <t>The Process Archaeologist</t>
        </is>
      </c>
      <c r="E6" s="40" t="inlineStr">
        <is>
          <t>Understands why processes exist</t>
        </is>
      </c>
      <c r="F6" s="41" t="inlineStr">
        <is>
          <t>Root Cause Analysis; Toyota 5 Whys</t>
        </is>
      </c>
    </row>
    <row r="7" ht="22" customHeight="1">
      <c r="B7" s="43" t="n"/>
      <c r="C7" s="43" t="n"/>
      <c r="D7" s="39" t="inlineStr">
        <is>
          <t>The Documenter</t>
        </is>
      </c>
      <c r="E7" s="40" t="inlineStr">
        <is>
          <t>Translates processes into structured steps</t>
        </is>
      </c>
      <c r="F7" s="41" t="inlineStr">
        <is>
          <t>BPM standards; Systemology — Jenyns</t>
        </is>
      </c>
    </row>
    <row r="8" ht="22" customHeight="1">
      <c r="B8" s="10" t="n">
        <v>2</v>
      </c>
      <c r="C8" s="44" t="inlineStr">
        <is>
          <t>Problem Definition</t>
        </is>
      </c>
      <c r="D8" s="45" t="inlineStr">
        <is>
          <t>The Friction Finder</t>
        </is>
      </c>
      <c r="E8" s="46" t="inlineStr">
        <is>
          <t>Identifies where work is slow or painful</t>
        </is>
      </c>
      <c r="F8" s="47" t="inlineStr">
        <is>
          <t>Lean Muda; Making Work Visible — DeGrandis</t>
        </is>
      </c>
    </row>
    <row r="9" ht="22" customHeight="1">
      <c r="B9" s="42" t="n"/>
      <c r="C9" s="42" t="n"/>
      <c r="D9" s="45" t="inlineStr">
        <is>
          <t>The Bottleneck Spotter</t>
        </is>
      </c>
      <c r="E9" s="46" t="inlineStr">
        <is>
          <t>Sees constraints in flow</t>
        </is>
      </c>
      <c r="F9" s="47" t="inlineStr">
        <is>
          <t>Theory of Constraints — Goldratt</t>
        </is>
      </c>
    </row>
    <row r="10" ht="22" customHeight="1">
      <c r="B10" s="42" t="n"/>
      <c r="C10" s="42" t="n"/>
      <c r="D10" s="45" t="inlineStr">
        <is>
          <t>The Scope Realist</t>
        </is>
      </c>
      <c r="E10" s="46" t="inlineStr">
        <is>
          <t>Prevents over-engineering</t>
        </is>
      </c>
      <c r="F10" s="47" t="inlineStr">
        <is>
          <t>Agile MVP; Walking Skeleton</t>
        </is>
      </c>
    </row>
    <row r="11" ht="22" customHeight="1">
      <c r="B11" s="43" t="n"/>
      <c r="C11" s="43" t="n"/>
      <c r="D11" s="45" t="inlineStr">
        <is>
          <t>The Problem Reframer</t>
        </is>
      </c>
      <c r="E11" s="46" t="inlineStr">
        <is>
          <t>Challenges whether the stated problem is the real one</t>
        </is>
      </c>
      <c r="F11" s="47" t="inlineStr">
        <is>
          <t>Design Thinking; Jobs To Be Done — Christensen</t>
        </is>
      </c>
    </row>
    <row r="12" ht="22" customHeight="1">
      <c r="B12" s="10" t="n">
        <v>3</v>
      </c>
      <c r="C12" s="38" t="inlineStr">
        <is>
          <t>Design &amp; Logic Thinking</t>
        </is>
      </c>
      <c r="D12" s="39" t="inlineStr">
        <is>
          <t>The Decision Tree Builder</t>
        </is>
      </c>
      <c r="E12" s="40" t="inlineStr">
        <is>
          <t>Thinks in if/then/else without coding</t>
        </is>
      </c>
      <c r="F12" s="41" t="inlineStr">
        <is>
          <t>Decision Theory; BPMN</t>
        </is>
      </c>
    </row>
    <row r="13" ht="22" customHeight="1">
      <c r="B13" s="42" t="n"/>
      <c r="C13" s="42" t="n"/>
      <c r="D13" s="39" t="inlineStr">
        <is>
          <t>The Data Modeler</t>
        </is>
      </c>
      <c r="E13" s="40" t="inlineStr">
        <is>
          <t>Thinks about data flowing through a process</t>
        </is>
      </c>
      <c r="F13" s="41" t="inlineStr">
        <is>
          <t>Data Flow Diagrams; ER modeling</t>
        </is>
      </c>
    </row>
    <row r="14" ht="22" customHeight="1">
      <c r="B14" s="42" t="n"/>
      <c r="C14" s="42" t="n"/>
      <c r="D14" s="39" t="inlineStr">
        <is>
          <t>The Workflow Choreographer</t>
        </is>
      </c>
      <c r="E14" s="40" t="inlineStr">
        <is>
          <t>Thinks in sequences and dependencies</t>
        </is>
      </c>
      <c r="F14" s="41" t="inlineStr">
        <is>
          <t>Critical Path Method; PMBOK</t>
        </is>
      </c>
    </row>
    <row r="15" ht="22" customHeight="1">
      <c r="B15" s="42" t="n"/>
      <c r="C15" s="42" t="n"/>
      <c r="D15" s="39" t="inlineStr">
        <is>
          <t>The Edge Case Hunter</t>
        </is>
      </c>
      <c r="E15" s="40" t="inlineStr">
        <is>
          <t>Proactively hunts failure modes</t>
        </is>
      </c>
      <c r="F15" s="41" t="inlineStr">
        <is>
          <t>FMEA; Pre-Mortem — Gary Klein</t>
        </is>
      </c>
    </row>
    <row r="16" ht="22" customHeight="1">
      <c r="B16" s="43" t="n"/>
      <c r="C16" s="43" t="n"/>
      <c r="D16" s="39" t="inlineStr">
        <is>
          <t>The Simplicity Advocate</t>
        </is>
      </c>
      <c r="E16" s="40" t="inlineStr">
        <is>
          <t>Enforces maintainability</t>
        </is>
      </c>
      <c r="F16" s="41" t="inlineStr">
        <is>
          <t>KISS; Occam's Razor; Lean</t>
        </is>
      </c>
    </row>
    <row r="17" ht="22" customHeight="1">
      <c r="B17" s="10" t="n">
        <v>4</v>
      </c>
      <c r="C17" s="44" t="inlineStr">
        <is>
          <t>Communication &amp; Translation</t>
        </is>
      </c>
      <c r="D17" s="45" t="inlineStr">
        <is>
          <t>The Bridge Builder</t>
        </is>
      </c>
      <c r="E17" s="46" t="inlineStr">
        <is>
          <t>Translates between technical and non-technical</t>
        </is>
      </c>
      <c r="F17" s="47" t="inlineStr">
        <is>
          <t>Team Topologies; T-shaped skills</t>
        </is>
      </c>
    </row>
    <row r="18" ht="22" customHeight="1">
      <c r="B18" s="42" t="n"/>
      <c r="C18" s="42" t="n"/>
      <c r="D18" s="45" t="inlineStr">
        <is>
          <t>The Stakeholder Whisperer</t>
        </is>
      </c>
      <c r="E18" s="46" t="inlineStr">
        <is>
          <t>Manages the political side of automation</t>
        </is>
      </c>
      <c r="F18" s="47" t="inlineStr">
        <is>
          <t>Kotter's 8-Step; Prosci ADKAR</t>
        </is>
      </c>
    </row>
    <row r="19" ht="22" customHeight="1">
      <c r="B19" s="42" t="n"/>
      <c r="C19" s="42" t="n"/>
      <c r="D19" s="45" t="inlineStr">
        <is>
          <t>The Requirements Articulator</t>
        </is>
      </c>
      <c r="E19" s="46" t="inlineStr">
        <is>
          <t>Converts vague requests into testable requirements</t>
        </is>
      </c>
      <c r="F19" s="47" t="inlineStr">
        <is>
          <t>Agile User Stories; INVEST criteria</t>
        </is>
      </c>
    </row>
    <row r="20" ht="22" customHeight="1">
      <c r="B20" s="43" t="n"/>
      <c r="C20" s="43" t="n"/>
      <c r="D20" s="45" t="inlineStr">
        <is>
          <t>The Trainer</t>
        </is>
      </c>
      <c r="E20" s="46" t="inlineStr">
        <is>
          <t>Ensures work outlives its creator</t>
        </is>
      </c>
      <c r="F20" s="47" t="inlineStr">
        <is>
          <t>Kirkpatrick Model; See One Do One Teach One</t>
        </is>
      </c>
    </row>
    <row r="21" ht="22" customHeight="1">
      <c r="B21" s="10" t="n">
        <v>5</v>
      </c>
      <c r="C21" s="38" t="inlineStr">
        <is>
          <t>Building &amp; Implementation</t>
        </is>
      </c>
      <c r="D21" s="39" t="inlineStr">
        <is>
          <t>The Rapid Prototyper</t>
        </is>
      </c>
      <c r="E21" s="40" t="inlineStr">
        <is>
          <t>Gets something working fast to test assumptions</t>
        </is>
      </c>
      <c r="F21" s="41" t="inlineStr">
        <is>
          <t>Lean Startup Build-Measure-Learn</t>
        </is>
      </c>
    </row>
    <row r="22" ht="22" customHeight="1">
      <c r="B22" s="42" t="n"/>
      <c r="C22" s="42" t="n"/>
      <c r="D22" s="39" t="inlineStr">
        <is>
          <t>The Finisher</t>
        </is>
      </c>
      <c r="E22" s="40" t="inlineStr">
        <is>
          <t>Completes the last 20%</t>
        </is>
      </c>
      <c r="F22" s="41" t="inlineStr">
        <is>
          <t>Pareto Principle; Agile Definition of Done</t>
        </is>
      </c>
    </row>
    <row r="23" ht="22" customHeight="1">
      <c r="B23" s="42" t="n"/>
      <c r="C23" s="42" t="n"/>
      <c r="D23" s="39" t="inlineStr">
        <is>
          <t>The Tool Native</t>
        </is>
      </c>
      <c r="E23" s="40" t="inlineStr">
        <is>
          <t>Picks up new platforms intuitively</t>
        </is>
      </c>
      <c r="F23" s="41" t="inlineStr">
        <is>
          <t>Diffusion of Innovations — Rogers</t>
        </is>
      </c>
    </row>
    <row r="24" ht="22" customHeight="1">
      <c r="B24" s="42" t="n"/>
      <c r="C24" s="42" t="n"/>
      <c r="D24" s="39" t="inlineStr">
        <is>
          <t>The AI Whisperer</t>
        </is>
      </c>
      <c r="E24" s="40" t="inlineStr">
        <is>
          <t>Uses AI as a design and building partner</t>
        </is>
      </c>
      <c r="F24" s="41" t="inlineStr">
        <is>
          <t>Co-Intelligence — Mollick</t>
        </is>
      </c>
    </row>
    <row r="25" ht="22" customHeight="1">
      <c r="B25" s="43" t="n"/>
      <c r="C25" s="43" t="n"/>
      <c r="D25" s="39" t="inlineStr">
        <is>
          <t>The Integration Thinker</t>
        </is>
      </c>
      <c r="E25" s="40" t="inlineStr">
        <is>
          <t>Thinks across system boundaries</t>
        </is>
      </c>
      <c r="F25" s="41" t="inlineStr">
        <is>
          <t>Zachman Framework; API-first design</t>
        </is>
      </c>
    </row>
    <row r="26" ht="22" customHeight="1">
      <c r="B26" s="10" t="n">
        <v>6</v>
      </c>
      <c r="C26" s="44" t="inlineStr">
        <is>
          <t>Quality &amp; Oversight</t>
        </is>
      </c>
      <c r="D26" s="45" t="inlineStr">
        <is>
          <t>The QA Mindset</t>
        </is>
      </c>
      <c r="E26" s="46" t="inlineStr">
        <is>
          <t>Tests with intent to break</t>
        </is>
      </c>
      <c r="F26" s="47" t="inlineStr">
        <is>
          <t>Software Testing fundamentals; TDD</t>
        </is>
      </c>
    </row>
    <row r="27" ht="22" customHeight="1">
      <c r="B27" s="42" t="n"/>
      <c r="C27" s="42" t="n"/>
      <c r="D27" s="45" t="inlineStr">
        <is>
          <t>The Auditor</t>
        </is>
      </c>
      <c r="E27" s="46" t="inlineStr">
        <is>
          <t>Builds in logging, monitoring, checkpoints</t>
        </is>
      </c>
      <c r="F27" s="47" t="inlineStr">
        <is>
          <t>COBIT; SOC 2; DevOps Observability</t>
        </is>
      </c>
    </row>
    <row r="28" ht="22" customHeight="1">
      <c r="B28" s="43" t="n"/>
      <c r="C28" s="43" t="n"/>
      <c r="D28" s="45" t="inlineStr">
        <is>
          <t>The Risk Modeler</t>
        </is>
      </c>
      <c r="E28" s="46" t="inlineStr">
        <is>
          <t>Evaluates failure impact before deploying</t>
        </is>
      </c>
      <c r="F28" s="47" t="inlineStr">
        <is>
          <t>Risk Matrix; FMEA; ISO 31000</t>
        </is>
      </c>
    </row>
    <row r="29" ht="22" customHeight="1">
      <c r="B29" s="10" t="n">
        <v>7</v>
      </c>
      <c r="C29" s="38" t="inlineStr">
        <is>
          <t>Human &amp; Organizational Awareness</t>
        </is>
      </c>
      <c r="D29" s="39" t="inlineStr">
        <is>
          <t>The Change Champion</t>
        </is>
      </c>
      <c r="E29" s="40" t="inlineStr">
        <is>
          <t>Drives adoption</t>
        </is>
      </c>
      <c r="F29" s="41" t="inlineStr">
        <is>
          <t>Kotter; Prosci ADKAR</t>
        </is>
      </c>
    </row>
    <row r="30" ht="22" customHeight="1">
      <c r="B30" s="42" t="n"/>
      <c r="C30" s="42" t="n"/>
      <c r="D30" s="39" t="inlineStr">
        <is>
          <t>The Skeptic</t>
        </is>
      </c>
      <c r="E30" s="40" t="inlineStr">
        <is>
          <t>Healthy devil's advocate</t>
        </is>
      </c>
      <c r="F30" s="41" t="inlineStr">
        <is>
          <t>Red Team/Blue Team; Pre-Mortem</t>
        </is>
      </c>
    </row>
    <row r="31" ht="22" customHeight="1">
      <c r="B31" s="42" t="n"/>
      <c r="C31" s="42" t="n"/>
      <c r="D31" s="39" t="inlineStr">
        <is>
          <t>The Reluctant Participant</t>
        </is>
      </c>
      <c r="E31" s="40" t="inlineStr">
        <is>
          <t>Represents the average user; their confusion is signal</t>
        </is>
      </c>
      <c r="F31" s="41" t="inlineStr">
        <is>
          <t>Rogers — Late Majority; UAT</t>
        </is>
      </c>
    </row>
    <row r="32" ht="22" customHeight="1">
      <c r="B32" s="42" t="n"/>
      <c r="C32" s="42" t="n"/>
      <c r="D32" s="39" t="inlineStr">
        <is>
          <t>The Compliance Voice</t>
        </is>
      </c>
      <c r="E32" s="40" t="inlineStr">
        <is>
          <t>Asks 'is this allowed?'</t>
        </is>
      </c>
      <c r="F32" s="41" t="inlineStr">
        <is>
          <t>GDPR/HIPAA/SOC 2; Privacy by Design</t>
        </is>
      </c>
    </row>
    <row r="33" ht="22" customHeight="1">
      <c r="B33" s="43" t="n"/>
      <c r="C33" s="43" t="n"/>
      <c r="D33" s="39" t="inlineStr">
        <is>
          <t>The Ownership Taker</t>
        </is>
      </c>
      <c r="E33" s="40" t="inlineStr">
        <is>
          <t>Maintains automations post-launch</t>
        </is>
      </c>
      <c r="F33" s="41" t="inlineStr">
        <is>
          <t>RACI Accountable; DevOps 'You Build It, You Run It'</t>
        </is>
      </c>
    </row>
    <row r="34" ht="22" customHeight="1">
      <c r="B34" s="10" t="n">
        <v>8</v>
      </c>
      <c r="C34" s="44" t="inlineStr">
        <is>
          <t>Strategic &amp; Vision Thinking</t>
        </is>
      </c>
      <c r="D34" s="45" t="inlineStr">
        <is>
          <t>The ROI Tracker</t>
        </is>
      </c>
      <c r="E34" s="46" t="inlineStr">
        <is>
          <t>Measures impact</t>
        </is>
      </c>
      <c r="F34" s="47" t="inlineStr">
        <is>
          <t>OKR Framework — Doerr; Lean ROI</t>
        </is>
      </c>
    </row>
    <row r="35" ht="22" customHeight="1">
      <c r="B35" s="42" t="n"/>
      <c r="C35" s="42" t="n"/>
      <c r="D35" s="45" t="inlineStr">
        <is>
          <t>The Automation Evangelist</t>
        </is>
      </c>
      <c r="E35" s="46" t="inlineStr">
        <is>
          <t>Drives organizational will</t>
        </is>
      </c>
      <c r="F35" s="47" t="inlineStr">
        <is>
          <t>Diffusion of Innovations — Innovator profile</t>
        </is>
      </c>
    </row>
    <row r="36" ht="22" customHeight="1">
      <c r="B36" s="43" t="n"/>
      <c r="C36" s="43" t="n"/>
      <c r="D36" s="45" t="inlineStr">
        <is>
          <t>The Systems Thinker</t>
        </is>
      </c>
      <c r="E36" s="46" t="inlineStr">
        <is>
          <t>Sees the larger connected whole</t>
        </is>
      </c>
      <c r="F36" s="47" t="inlineStr">
        <is>
          <t>Thinking in Systems — Meadows; Cynefin — Snowden</t>
        </is>
      </c>
    </row>
  </sheetData>
  <mergeCells count="17">
    <mergeCell ref="C4:C7"/>
    <mergeCell ref="B17:B20"/>
    <mergeCell ref="B21:B25"/>
    <mergeCell ref="C29:C33"/>
    <mergeCell ref="B8:B11"/>
    <mergeCell ref="C17:C20"/>
    <mergeCell ref="B4:B7"/>
    <mergeCell ref="C8:C11"/>
    <mergeCell ref="C21:C25"/>
    <mergeCell ref="B26:B28"/>
    <mergeCell ref="B29:B33"/>
    <mergeCell ref="B34:B36"/>
    <mergeCell ref="B12:B16"/>
    <mergeCell ref="C34:C36"/>
    <mergeCell ref="C12:C16"/>
    <mergeCell ref="B1:F1"/>
    <mergeCell ref="C26:C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2026-03-10T06:29:00Z</dcterms:created>
  <dcterms:modified xsi:type="dcterms:W3CDTF">2026-03-10T06:29:00Z</dcterms:modified>
</cp:coreProperties>
</file>