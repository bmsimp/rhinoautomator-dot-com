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Assessment" sheetId="2" state="visible" r:id="rId2"/>
    <sheet name="Perspectives" sheetId="3" state="visible" r:id="rId3"/>
    <sheet name="Framework Reference"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22">
    <font>
      <name val="Calibri"/>
      <family val="2"/>
      <color theme="1"/>
      <sz val="11"/>
      <scheme val="minor"/>
    </font>
    <font>
      <b val="1"/>
      <color rgb="00FFFFFF"/>
      <sz val="16"/>
    </font>
    <font>
      <i val="1"/>
      <color rgb="00FFFFFF"/>
      <sz val="10"/>
    </font>
    <font>
      <b val="1"/>
      <color rgb="003B5BDB"/>
      <sz val="11"/>
    </font>
    <font>
      <color rgb="001A1F36"/>
      <sz val="10"/>
    </font>
    <font>
      <b val="1"/>
      <color rgb="001A1F36"/>
      <sz val="10"/>
    </font>
    <font>
      <b val="1"/>
      <color rgb="00FFFFFF"/>
      <sz val="14"/>
    </font>
    <font>
      <b val="1"/>
      <color rgb="001A1F36"/>
      <sz val="11"/>
    </font>
    <font>
      <i val="1"/>
      <color rgb="006B7394"/>
      <sz val="11"/>
    </font>
    <font>
      <b val="1"/>
      <color rgb="00FFFFFF"/>
      <sz val="10"/>
    </font>
    <font>
      <b val="1"/>
      <color rgb="003B5BDB"/>
      <sz val="10"/>
    </font>
    <font>
      <i val="1"/>
      <color rgb="006B7394"/>
      <sz val="9"/>
    </font>
    <font>
      <b val="1"/>
      <color rgb="003B5BDB"/>
      <sz val="14"/>
    </font>
    <font>
      <i val="1"/>
      <color rgb="001A1F36"/>
      <sz val="9"/>
    </font>
    <font>
      <b val="1"/>
      <color rgb="00FFFFFF"/>
      <sz val="11"/>
    </font>
    <font>
      <b val="1"/>
      <color rgb="001A1F36"/>
      <sz val="12"/>
    </font>
    <font>
      <b val="1"/>
      <color rgb="00FFFFFF"/>
      <sz val="12"/>
    </font>
    <font>
      <b val="1"/>
      <color rgb="00FFFFFF"/>
      <sz val="9"/>
    </font>
    <font>
      <b val="1"/>
      <color rgb="003B5BDB"/>
      <sz val="9"/>
    </font>
    <font>
      <b val="1"/>
      <sz val="10"/>
    </font>
    <font>
      <b val="1"/>
      <color rgb="001A1F36"/>
      <sz val="9"/>
    </font>
    <font>
      <color rgb="004A5568"/>
      <sz val="9"/>
    </font>
  </fonts>
  <fills count="11">
    <fill>
      <patternFill/>
    </fill>
    <fill>
      <patternFill patternType="gray125"/>
    </fill>
    <fill>
      <patternFill patternType="solid">
        <fgColor rgb="003B5BDB"/>
      </patternFill>
    </fill>
    <fill>
      <patternFill patternType="solid">
        <fgColor rgb="007048E8"/>
      </patternFill>
    </fill>
    <fill>
      <patternFill patternType="solid">
        <fgColor rgb="00E8ECFC"/>
      </patternFill>
    </fill>
    <fill>
      <patternFill patternType="solid">
        <fgColor rgb="00FFFDE7"/>
      </patternFill>
    </fill>
    <fill>
      <patternFill patternType="solid">
        <fgColor rgb="002F4BC4"/>
      </patternFill>
    </fill>
    <fill>
      <patternFill patternType="solid">
        <fgColor rgb="00FFFFFF"/>
      </patternFill>
    </fill>
    <fill>
      <patternFill patternType="solid">
        <fgColor rgb="00EFF3FF"/>
      </patternFill>
    </fill>
    <fill>
      <patternFill patternType="solid">
        <fgColor rgb="00F4F6FB"/>
      </patternFill>
    </fill>
    <fill>
      <patternFill patternType="solid">
        <fgColor rgb="00F3F0FF"/>
      </patternFill>
    </fill>
  </fills>
  <borders count="10">
    <border>
      <left/>
      <right/>
      <top/>
      <bottom/>
      <diagonal/>
    </border>
    <border>
      <left style="thin">
        <color rgb="00DDE3EE"/>
      </left>
      <right style="thin">
        <color rgb="00DDE3EE"/>
      </right>
      <top style="thin">
        <color rgb="00DDE3EE"/>
      </top>
      <bottom style="thin">
        <color rgb="00DDE3EE"/>
      </bottom>
    </border>
    <border>
      <left style="thin">
        <color rgb="00FFFFFF"/>
      </left>
      <right style="thin">
        <color rgb="00FFFFFF"/>
      </right>
      <top style="thin">
        <color rgb="00FFFFFF"/>
      </top>
      <bottom style="thin">
        <color rgb="00FFFFFF"/>
      </bottom>
    </border>
    <border>
      <left style="thin">
        <color rgb="003B5BDB"/>
      </left>
      <right style="thin">
        <color rgb="003B5BDB"/>
      </right>
      <top style="thin">
        <color rgb="003B5BDB"/>
      </top>
      <bottom style="thin">
        <color rgb="003B5BDB"/>
      </bottom>
    </border>
    <border>
      <left/>
      <right/>
      <top style="thin">
        <color rgb="00DDE3EE"/>
      </top>
      <bottom/>
      <diagonal/>
    </border>
    <border>
      <left/>
      <right style="thin">
        <color rgb="00DDE3EE"/>
      </right>
      <top style="thin">
        <color rgb="00DDE3EE"/>
      </top>
      <bottom/>
      <diagonal/>
    </border>
    <border>
      <left/>
      <right style="thin">
        <color rgb="00DDE3EE"/>
      </right>
      <top style="thin">
        <color rgb="00DDE3EE"/>
      </top>
      <bottom style="thin">
        <color rgb="00DDE3EE"/>
      </bottom>
      <diagonal/>
    </border>
    <border>
      <left style="thin">
        <color rgb="00DDE3EE"/>
      </left>
      <right/>
      <top/>
      <bottom/>
      <diagonal/>
    </border>
    <border>
      <left style="thin">
        <color rgb="00DDE3EE"/>
      </left>
      <right style="thin">
        <color rgb="00DDE3EE"/>
      </right>
      <top/>
      <bottom/>
      <diagonal/>
    </border>
    <border>
      <left style="thin">
        <color rgb="00DDE3EE"/>
      </left>
      <right style="thin">
        <color rgb="00DDE3EE"/>
      </right>
      <top/>
      <bottom style="thin">
        <color rgb="00DDE3EE"/>
      </bottom>
      <diagonal/>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0" applyAlignment="1" pivotButton="0" quotePrefix="0" xfId="0">
      <alignment horizontal="left" vertical="center"/>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2" borderId="0" applyAlignment="1" pivotButton="0" quotePrefix="0" xfId="0">
      <alignment horizontal="center" vertical="center"/>
    </xf>
    <xf numFmtId="0" fontId="7" fillId="0" borderId="0" applyAlignment="1" pivotButton="0" quotePrefix="0" xfId="0">
      <alignment horizontal="right" vertical="center"/>
    </xf>
    <xf numFmtId="0" fontId="8" fillId="5" borderId="1" applyAlignment="1" pivotButton="0" quotePrefix="0" xfId="0">
      <alignment horizontal="left" vertical="center"/>
    </xf>
    <xf numFmtId="0" fontId="9" fillId="6" borderId="2" applyAlignment="1" pivotButton="0" quotePrefix="0" xfId="0">
      <alignment horizontal="center" vertical="center" wrapText="1"/>
    </xf>
    <xf numFmtId="0" fontId="9" fillId="2" borderId="1" applyAlignment="1" pivotButton="0" quotePrefix="0" xfId="0">
      <alignment horizontal="center" vertical="center"/>
    </xf>
    <xf numFmtId="0" fontId="10" fillId="7" borderId="1" applyAlignment="1" pivotButton="0" quotePrefix="0" xfId="0">
      <alignment horizontal="left" vertical="center" wrapText="1"/>
    </xf>
    <xf numFmtId="0" fontId="11" fillId="7" borderId="1" applyAlignment="1" pivotButton="0" quotePrefix="0" xfId="0">
      <alignment horizontal="left" vertical="center" wrapText="1"/>
    </xf>
    <xf numFmtId="0" fontId="12" fillId="8" borderId="3" applyAlignment="1" pivotButton="0" quotePrefix="0" xfId="0">
      <alignment horizontal="center" vertical="center"/>
    </xf>
    <xf numFmtId="0" fontId="13" fillId="7" borderId="1" applyAlignment="1" pivotButton="0" quotePrefix="0" xfId="0">
      <alignment horizontal="left" vertical="center" wrapText="1"/>
    </xf>
    <xf numFmtId="0" fontId="10" fillId="9" borderId="1" applyAlignment="1" pivotButton="0" quotePrefix="0" xfId="0">
      <alignment horizontal="left" vertical="center" wrapText="1"/>
    </xf>
    <xf numFmtId="0" fontId="11" fillId="9" borderId="1" applyAlignment="1" pivotButton="0" quotePrefix="0" xfId="0">
      <alignment horizontal="left" vertical="center" wrapText="1"/>
    </xf>
    <xf numFmtId="0" fontId="13" fillId="9" borderId="1" applyAlignment="1" pivotButton="0" quotePrefix="0" xfId="0">
      <alignment horizontal="left" vertical="center" wrapText="1"/>
    </xf>
    <xf numFmtId="0" fontId="14" fillId="2" borderId="1" applyAlignment="1" pivotButton="0" quotePrefix="0" xfId="0">
      <alignment horizontal="right" vertical="center"/>
    </xf>
    <xf numFmtId="0" fontId="6" fillId="2" borderId="1" applyAlignment="1" pivotButton="0" quotePrefix="0" xfId="0">
      <alignment horizontal="center" vertical="center"/>
    </xf>
    <xf numFmtId="0" fontId="3" fillId="4" borderId="1" applyAlignment="1" pivotButton="0" quotePrefix="0" xfId="0">
      <alignment horizontal="right" vertical="center"/>
    </xf>
    <xf numFmtId="0" fontId="3" fillId="4" borderId="1" applyAlignment="1" pivotButton="0" quotePrefix="0" xfId="0">
      <alignment horizontal="center" vertical="center"/>
    </xf>
    <xf numFmtId="0" fontId="0" fillId="0" borderId="6" pivotButton="0" quotePrefix="0" xfId="0"/>
    <xf numFmtId="0" fontId="11" fillId="4" borderId="0" applyAlignment="1" pivotButton="0" quotePrefix="0" xfId="0">
      <alignment horizontal="center" vertical="center"/>
    </xf>
    <xf numFmtId="0" fontId="11" fillId="5" borderId="1" applyAlignment="1" pivotButton="0" quotePrefix="0" xfId="0">
      <alignment horizontal="center" vertical="center"/>
    </xf>
    <xf numFmtId="0" fontId="9" fillId="6" borderId="1" applyAlignment="1" pivotButton="0" quotePrefix="0" xfId="0">
      <alignment horizontal="center" vertical="center"/>
    </xf>
    <xf numFmtId="0" fontId="9" fillId="3" borderId="1" applyAlignment="1" pivotButton="0" quotePrefix="0" xfId="0">
      <alignment horizontal="center" vertical="center"/>
    </xf>
    <xf numFmtId="0" fontId="15" fillId="8" borderId="3" applyAlignment="1" pivotButton="0" quotePrefix="0" xfId="0">
      <alignment horizontal="center" vertical="center"/>
    </xf>
    <xf numFmtId="0" fontId="15" fillId="10" borderId="3" applyAlignment="1" pivotButton="0" quotePrefix="0" xfId="0">
      <alignment horizontal="center" vertical="center"/>
    </xf>
    <xf numFmtId="164" fontId="3" fillId="4" borderId="3" applyAlignment="1" pivotButton="0" quotePrefix="0" xfId="0">
      <alignment horizontal="center" vertical="center"/>
    </xf>
    <xf numFmtId="0" fontId="16" fillId="2" borderId="1" applyAlignment="1" pivotButton="0" quotePrefix="0" xfId="0">
      <alignment horizontal="center" vertical="center"/>
    </xf>
    <xf numFmtId="164" fontId="16" fillId="2" borderId="1" applyAlignment="1" pivotButton="0" quotePrefix="0" xfId="0">
      <alignment horizontal="center" vertical="center"/>
    </xf>
    <xf numFmtId="0" fontId="9" fillId="6" borderId="0" applyAlignment="1" pivotButton="0" quotePrefix="0" xfId="0">
      <alignment horizontal="left" vertical="center"/>
    </xf>
    <xf numFmtId="0" fontId="9" fillId="6" borderId="0" applyAlignment="1" pivotButton="0" quotePrefix="0" xfId="0">
      <alignment horizontal="center" vertical="center"/>
    </xf>
    <xf numFmtId="0" fontId="17" fillId="2" borderId="1" applyAlignment="1" pivotButton="0" quotePrefix="0" xfId="0">
      <alignment horizontal="center" vertical="center"/>
    </xf>
    <xf numFmtId="0" fontId="18" fillId="4" borderId="1" applyAlignment="1" pivotButton="0" quotePrefix="0" xfId="0">
      <alignment horizontal="left" vertical="center"/>
    </xf>
    <xf numFmtId="164" fontId="19" fillId="4" borderId="1" applyAlignment="1" pivotButton="0" quotePrefix="0" xfId="0">
      <alignment horizontal="center" vertical="center"/>
    </xf>
    <xf numFmtId="0" fontId="9" fillId="6" borderId="1" applyAlignment="1" pivotButton="0" quotePrefix="0" xfId="0">
      <alignment horizontal="center" vertical="center" wrapText="1"/>
    </xf>
    <xf numFmtId="0" fontId="10" fillId="8" borderId="1" applyAlignment="1" pivotButton="0" quotePrefix="0" xfId="0">
      <alignment horizontal="left" vertical="center" wrapText="1"/>
    </xf>
    <xf numFmtId="0" fontId="20" fillId="8" borderId="1" applyAlignment="1" pivotButton="0" quotePrefix="0" xfId="0">
      <alignment horizontal="left" vertical="center" wrapText="1"/>
    </xf>
    <xf numFmtId="0" fontId="11" fillId="8" borderId="1" applyAlignment="1" pivotButton="0" quotePrefix="0" xfId="0">
      <alignment horizontal="left" vertical="center" wrapText="1"/>
    </xf>
    <xf numFmtId="0" fontId="21" fillId="8" borderId="1" applyAlignment="1" pivotButton="0" quotePrefix="0" xfId="0">
      <alignment horizontal="left" vertical="center" wrapText="1"/>
    </xf>
    <xf numFmtId="0" fontId="0" fillId="0" borderId="8" pivotButton="0" quotePrefix="0" xfId="0"/>
    <xf numFmtId="0" fontId="0" fillId="0" borderId="9" pivotButton="0" quotePrefix="0" xfId="0"/>
    <xf numFmtId="0" fontId="10" fillId="4" borderId="1" applyAlignment="1" pivotButton="0" quotePrefix="0" xfId="0">
      <alignment horizontal="left" vertical="center" wrapText="1"/>
    </xf>
    <xf numFmtId="0" fontId="20" fillId="4" borderId="1" applyAlignment="1" pivotButton="0" quotePrefix="0" xfId="0">
      <alignment horizontal="left" vertical="center" wrapText="1"/>
    </xf>
    <xf numFmtId="0" fontId="11" fillId="4" borderId="1" applyAlignment="1" pivotButton="0" quotePrefix="0" xfId="0">
      <alignment horizontal="left" vertical="center" wrapText="1"/>
    </xf>
    <xf numFmtId="0" fontId="21"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p>
            <a:pPr>
              <a:defRPr/>
            </a:pPr>
            <a:r>
              <a:t>Automation Archetype Radar</a:t>
            </a:r>
          </a:p>
        </rich>
      </tx>
    </title>
    <plotArea>
      <radarChart>
        <radarStyle val="filled"/>
        <ser>
          <idx val="0"/>
          <order val="0"/>
          <tx>
            <strRef>
              <f>'Assessment'!E5</f>
            </strRef>
          </tx>
          <spPr>
            <a:ln>
              <a:prstDash val="solid"/>
            </a:ln>
          </spPr>
          <marker>
            <symbol val="none"/>
            <spPr>
              <a:ln>
                <a:prstDash val="solid"/>
              </a:ln>
            </spPr>
          </marker>
          <cat>
            <numRef>
              <f>'Assessment'!$H$6:$H$13</f>
            </numRef>
          </cat>
          <val>
            <numRef>
              <f>'Assessment'!$E$6:$E$13</f>
            </numRef>
          </val>
        </ser>
        <axId val="10"/>
        <axId val="100"/>
      </radarChart>
      <catAx>
        <axId val="10"/>
        <scaling>
          <orientation val="minMax"/>
        </scaling>
        <axPos val="l"/>
        <majorTickMark val="none"/>
        <minorTickMark val="none"/>
        <crossAx val="100"/>
        <lblOffset val="100"/>
      </catAx>
      <valAx>
        <axId val="100"/>
        <scaling>
          <orientation val="minMax"/>
          <max val="10"/>
          <min val="0"/>
        </scaling>
        <delete val="0"/>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Assessment Perspectives Radar</a:t>
            </a:r>
          </a:p>
        </rich>
      </tx>
    </title>
    <plotArea>
      <radarChart>
        <radarStyle val="marker"/>
        <ser>
          <idx val="0"/>
          <order val="0"/>
          <tx>
            <strRef>
              <f>'Perspectives'!D4</f>
            </strRef>
          </tx>
          <spPr>
            <a:ln>
              <a:prstDash val="solid"/>
            </a:ln>
          </spPr>
          <marker>
            <symbol val="none"/>
            <spPr>
              <a:ln>
                <a:prstDash val="solid"/>
              </a:ln>
            </spPr>
          </marker>
          <cat>
            <numRef>
              <f>'Perspectives'!$M$5:$M$12</f>
            </numRef>
          </cat>
          <val>
            <numRef>
              <f>'Perspectives'!$D$5:$D$12</f>
            </numRef>
          </val>
        </ser>
        <ser>
          <idx val="1"/>
          <order val="1"/>
          <tx>
            <strRef>
              <f>'Perspectives'!E4</f>
            </strRef>
          </tx>
          <spPr>
            <a:ln>
              <a:prstDash val="solid"/>
            </a:ln>
          </spPr>
          <marker>
            <symbol val="none"/>
            <spPr>
              <a:ln>
                <a:prstDash val="solid"/>
              </a:ln>
            </spPr>
          </marker>
          <cat>
            <numRef>
              <f>'Perspectives'!$M$5:$M$12</f>
            </numRef>
          </cat>
          <val>
            <numRef>
              <f>'Perspectives'!$E$5:$E$12</f>
            </numRef>
          </val>
        </ser>
        <ser>
          <idx val="2"/>
          <order val="2"/>
          <tx>
            <strRef>
              <f>'Perspectives'!F4</f>
            </strRef>
          </tx>
          <spPr>
            <a:ln>
              <a:prstDash val="solid"/>
            </a:ln>
          </spPr>
          <marker>
            <symbol val="none"/>
            <spPr>
              <a:ln>
                <a:prstDash val="solid"/>
              </a:ln>
            </spPr>
          </marker>
          <cat>
            <numRef>
              <f>'Perspectives'!$M$5:$M$12</f>
            </numRef>
          </cat>
          <val>
            <numRef>
              <f>'Perspectives'!$F$5:$F$12</f>
            </numRef>
          </val>
        </ser>
        <ser>
          <idx val="3"/>
          <order val="3"/>
          <tx>
            <strRef>
              <f>'Perspectives'!G4</f>
            </strRef>
          </tx>
          <spPr>
            <a:ln>
              <a:prstDash val="solid"/>
            </a:ln>
          </spPr>
          <marker>
            <symbol val="none"/>
            <spPr>
              <a:ln>
                <a:prstDash val="solid"/>
              </a:ln>
            </spPr>
          </marker>
          <cat>
            <numRef>
              <f>'Perspectives'!$M$5:$M$12</f>
            </numRef>
          </cat>
          <val>
            <numRef>
              <f>'Perspectives'!$G$5:$G$12</f>
            </numRef>
          </val>
        </ser>
        <ser>
          <idx val="4"/>
          <order val="4"/>
          <tx>
            <strRef>
              <f>'Perspectives'!H4</f>
            </strRef>
          </tx>
          <spPr>
            <a:ln>
              <a:prstDash val="solid"/>
            </a:ln>
          </spPr>
          <marker>
            <symbol val="none"/>
            <spPr>
              <a:ln>
                <a:prstDash val="solid"/>
              </a:ln>
            </spPr>
          </marker>
          <cat>
            <numRef>
              <f>'Perspectives'!$M$5:$M$12</f>
            </numRef>
          </cat>
          <val>
            <numRef>
              <f>'Perspectives'!$H$5:$H$12</f>
            </numRef>
          </val>
        </ser>
        <ser>
          <idx val="5"/>
          <order val="5"/>
          <tx>
            <strRef>
              <f>'Perspectives'!I4</f>
            </strRef>
          </tx>
          <spPr>
            <a:ln>
              <a:prstDash val="solid"/>
            </a:ln>
          </spPr>
          <marker>
            <symbol val="none"/>
            <spPr>
              <a:ln>
                <a:prstDash val="solid"/>
              </a:ln>
            </spPr>
          </marker>
          <cat>
            <numRef>
              <f>'Perspectives'!$M$5:$M$12</f>
            </numRef>
          </cat>
          <val>
            <numRef>
              <f>'Perspectives'!$I$5:$I$12</f>
            </numRef>
          </val>
        </ser>
        <ser>
          <idx val="6"/>
          <order val="6"/>
          <tx>
            <strRef>
              <f>'Perspectives'!J4</f>
            </strRef>
          </tx>
          <spPr>
            <a:ln>
              <a:prstDash val="solid"/>
            </a:ln>
          </spPr>
          <marker>
            <symbol val="none"/>
            <spPr>
              <a:ln>
                <a:prstDash val="solid"/>
              </a:ln>
            </spPr>
          </marker>
          <cat>
            <numRef>
              <f>'Perspectives'!$M$5:$M$12</f>
            </numRef>
          </cat>
          <val>
            <numRef>
              <f>'Perspectives'!$J$5:$J$12</f>
            </numRef>
          </val>
        </ser>
        <ser>
          <idx val="7"/>
          <order val="7"/>
          <tx>
            <strRef>
              <f>'Perspectives'!K4</f>
            </strRef>
          </tx>
          <spPr>
            <a:ln>
              <a:prstDash val="solid"/>
            </a:ln>
          </spPr>
          <marker>
            <symbol val="none"/>
            <spPr>
              <a:ln>
                <a:prstDash val="solid"/>
              </a:ln>
            </spPr>
          </marker>
          <cat>
            <numRef>
              <f>'Perspectives'!$M$5:$M$12</f>
            </numRef>
          </cat>
          <val>
            <numRef>
              <f>'Perspectives'!$K$5:$K$12</f>
            </numRef>
          </val>
        </ser>
        <axId val="10"/>
        <axId val="100"/>
      </radarChart>
      <catAx>
        <axId val="10"/>
        <scaling>
          <orientation val="minMax"/>
        </scaling>
        <axPos val="l"/>
        <majorTickMark val="none"/>
        <minorTickMark val="none"/>
        <crossAx val="100"/>
        <lblOffset val="100"/>
      </catAx>
      <valAx>
        <axId val="100"/>
        <scaling>
          <orientation val="minMax"/>
          <max val="10"/>
          <min val="0"/>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4</row>
      <rowOff>0</rowOff>
    </from>
    <ext cx="7920000" cy="72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14</col>
      <colOff>0</colOff>
      <row>3</row>
      <rowOff>0</rowOff>
    </from>
    <ext cx="8640000" cy="79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3B5BDB"/>
    <outlinePr summaryBelow="1" summaryRight="1"/>
    <pageSetUpPr/>
  </sheetPr>
  <dimension ref="B2:D44"/>
  <sheetViews>
    <sheetView workbookViewId="0">
      <selection activeCell="A1" sqref="A1"/>
    </sheetView>
  </sheetViews>
  <sheetFormatPr baseColWidth="8" defaultRowHeight="15"/>
  <cols>
    <col width="3" customWidth="1" min="1" max="1"/>
    <col width="22" customWidth="1" min="2" max="2"/>
    <col width="60" customWidth="1" min="3" max="3"/>
    <col width="22" customWidth="1" min="4" max="4"/>
  </cols>
  <sheetData>
    <row r="2" ht="36" customHeight="1">
      <c r="B2" s="1" t="inlineStr">
        <is>
          <t>Archetypes of Automation — Team Capability Assessment Workbook</t>
        </is>
      </c>
    </row>
    <row r="3" ht="22" customHeight="1">
      <c r="B3" s="2" t="inlineStr">
        <is>
          <t>A Team Capability Framework  ·  8 Dimensions of Automation Readiness</t>
        </is>
      </c>
    </row>
    <row r="5" ht="20" customHeight="1">
      <c r="B5" s="3" t="inlineStr">
        <is>
          <t>What is this workbook?</t>
        </is>
      </c>
    </row>
    <row r="6" ht="15" customHeight="1">
      <c r="B6" s="4" t="inlineStr">
        <is>
          <t>This workbook supports the Archetypes of Automation framework — a team capability assessment tool for any organisation building automation capabilities. It is designed to be completed by a team leader or person in a position of authority evaluating their team's collective strengths and gaps.</t>
        </is>
      </c>
    </row>
    <row r="7" ht="15" customHeight="1">
      <c r="B7" s="4" t="inlineStr">
        <is>
          <t>The biggest barrier to automation is not technical skill — it is process thinking, team composition, and role awareness. This tool helps you see where your team stands across 8 automation capability dimensions.</t>
        </is>
      </c>
    </row>
    <row r="9" ht="20" customHeight="1">
      <c r="B9" s="3" t="inlineStr">
        <is>
          <t>Sheets in this workbook</t>
        </is>
      </c>
    </row>
    <row r="10" ht="16" customHeight="1">
      <c r="B10" s="5" t="inlineStr">
        <is>
          <t>Assessment  →  Score your team 0-10 per archetype. The radar chart updates automatically.</t>
        </is>
      </c>
    </row>
    <row r="11" ht="16" customHeight="1">
      <c r="B11" s="5" t="inlineStr">
        <is>
          <t>Perspectives  →  Collect assessments from multiple evaluators and compare on a shared radar.</t>
        </is>
      </c>
    </row>
    <row r="12" ht="16" customHeight="1">
      <c r="B12" s="5" t="inlineStr">
        <is>
          <t>Framework Reference  →  Full sub-archetype list with descriptions and framework citations.</t>
        </is>
      </c>
    </row>
    <row r="14" ht="20" customHeight="1">
      <c r="B14" s="3" t="inlineStr">
        <is>
          <t>How to complete the Assessment</t>
        </is>
      </c>
    </row>
    <row r="15" ht="15" customHeight="1">
      <c r="B15" s="4" t="inlineStr">
        <is>
          <t>1. Go to the 'Assessment' sheet.</t>
        </is>
      </c>
    </row>
    <row r="16" ht="15" customHeight="1">
      <c r="B16" s="4" t="inlineStr">
        <is>
          <t>2. Enter your name and role in the yellow Name cell (row 4).</t>
        </is>
      </c>
    </row>
    <row r="17" ht="15" customHeight="1">
      <c r="B17" s="4" t="inlineStr">
        <is>
          <t>3. For each of the 8 archetypes, enter a score from 0-10 in the Score column.</t>
        </is>
      </c>
    </row>
    <row r="18" ht="15" customHeight="1">
      <c r="B18" s="4" t="inlineStr">
        <is>
          <t xml:space="preserve">   Use the dropdown — only whole numbers 0 through 10 are accepted.</t>
        </is>
      </c>
    </row>
    <row r="19" ht="15" customHeight="1">
      <c r="B19" s="4" t="inlineStr">
        <is>
          <t>4. You are scoring your TEAM's capability, not your own personal skills.</t>
        </is>
      </c>
    </row>
    <row r="20" ht="15" customHeight="1">
      <c r="B20" s="4" t="inlineStr">
        <is>
          <t xml:space="preserve">   Ask yourself: does our team have someone who reliably fills this role?</t>
        </is>
      </c>
    </row>
    <row r="21" ht="15" customHeight="1">
      <c r="B21" s="4" t="inlineStr">
        <is>
          <t>5. Read the sub-archetype descriptions in the 'Framework Reference' sheet to calibrate.</t>
        </is>
      </c>
    </row>
    <row r="22" ht="15" customHeight="1">
      <c r="B22" s="4" t="inlineStr">
        <is>
          <t>6. The radar chart and team profile update automatically as you enter scores.</t>
        </is>
      </c>
    </row>
    <row r="24" ht="20" customHeight="1">
      <c r="B24" s="3" t="inlineStr">
        <is>
          <t>Scoring Bands</t>
        </is>
      </c>
    </row>
    <row r="25" ht="15" customHeight="1">
      <c r="B25" s="4" t="inlineStr">
        <is>
          <t xml:space="preserve">  0-2: No one on the team fills this role; this capability is absent</t>
        </is>
      </c>
    </row>
    <row r="26" ht="15" customHeight="1">
      <c r="B26" s="4" t="inlineStr">
        <is>
          <t xml:space="preserve">  3-4: Emerging - someone shows instinct but no consistent, structured practice</t>
        </is>
      </c>
    </row>
    <row r="27" ht="15" customHeight="1">
      <c r="B27" s="4" t="inlineStr">
        <is>
          <t xml:space="preserve">  5-6: Functional - team has some coverage here, but with notable gaps</t>
        </is>
      </c>
    </row>
    <row r="28" ht="15" customHeight="1">
      <c r="B28" s="4" t="inlineStr">
        <is>
          <t xml:space="preserve">  7-8: Strong - reliable team capability; people know who to go to</t>
        </is>
      </c>
    </row>
    <row r="29" ht="15" customHeight="1">
      <c r="B29" s="4" t="inlineStr">
        <is>
          <t xml:space="preserve">  9-10: Exceptional - a clear team strength; this is where you set the standard</t>
        </is>
      </c>
    </row>
    <row r="31" ht="20" customHeight="1">
      <c r="B31" s="3" t="inlineStr">
        <is>
          <t>Team Capability Profiles (Total out of 80)</t>
        </is>
      </c>
    </row>
    <row r="32" ht="15" customHeight="1">
      <c r="B32" s="4" t="inlineStr">
        <is>
          <t xml:space="preserve">  0-20  -&gt;  Early-Stage Team</t>
        </is>
      </c>
    </row>
    <row r="33" ht="15" customHeight="1">
      <c r="B33" s="4" t="inlineStr">
        <is>
          <t xml:space="preserve">  21-35  -&gt;  Developing Team</t>
        </is>
      </c>
    </row>
    <row r="34" ht="15" customHeight="1">
      <c r="B34" s="4" t="inlineStr">
        <is>
          <t xml:space="preserve">  36-50  -&gt;  Capable Team</t>
        </is>
      </c>
    </row>
    <row r="35" ht="15" customHeight="1">
      <c r="B35" s="4" t="inlineStr">
        <is>
          <t xml:space="preserve">  51-65  -&gt;  Strong Team</t>
        </is>
      </c>
    </row>
    <row r="36" ht="15" customHeight="1">
      <c r="B36" s="4" t="inlineStr">
        <is>
          <t xml:space="preserve">  66-80  -&gt;  High-Performing Team</t>
        </is>
      </c>
    </row>
    <row r="38" ht="20" customHeight="1">
      <c r="B38" s="3" t="inlineStr">
        <is>
          <t>How to use the Perspectives sheet</t>
        </is>
      </c>
    </row>
    <row r="39" ht="15" customHeight="1">
      <c r="B39" s="4" t="inlineStr">
        <is>
          <t>1. Have multiple evaluators (e.g. owner, ops lead, senior tech) each complete an Assessment.</t>
        </is>
      </c>
    </row>
    <row r="40" ht="15" customHeight="1">
      <c r="B40" s="4" t="inlineStr">
        <is>
          <t>2. Copy each evaluator's 8 scores into a column on the 'Perspectives' sheet.</t>
        </is>
      </c>
    </row>
    <row r="41" ht="15" customHeight="1">
      <c r="B41" s="4" t="inlineStr">
        <is>
          <t>3. The combined radar chart and gap analysis update automatically.</t>
        </is>
      </c>
    </row>
    <row r="42" ht="15" customHeight="1">
      <c r="B42" s="4" t="inlineStr">
        <is>
          <t>4. Where perspectives diverge significantly, that disagreement is worth discussing.</t>
        </is>
      </c>
    </row>
    <row r="43" ht="15" customHeight="1">
      <c r="B43" s="4" t="inlineStr">
        <is>
          <t>5. Where all evaluators score an archetype low, that is your most urgent gap to address.</t>
        </is>
      </c>
    </row>
    <row r="44" ht="15" customHeight="1">
      <c r="B44" s="4" t="inlineStr">
        <is>
          <t>6. Use gaps to guide hiring, training, or partnership decisions.</t>
        </is>
      </c>
    </row>
  </sheetData>
  <mergeCells count="37">
    <mergeCell ref="B11:D11"/>
    <mergeCell ref="B42:D42"/>
    <mergeCell ref="B14:D14"/>
    <mergeCell ref="B17:D17"/>
    <mergeCell ref="B44:D44"/>
    <mergeCell ref="B29:D29"/>
    <mergeCell ref="B38:D38"/>
    <mergeCell ref="B34:D34"/>
    <mergeCell ref="B10:D10"/>
    <mergeCell ref="B28:D28"/>
    <mergeCell ref="B19:D19"/>
    <mergeCell ref="B40:D40"/>
    <mergeCell ref="B9:D9"/>
    <mergeCell ref="B15:D15"/>
    <mergeCell ref="B6:D6"/>
    <mergeCell ref="B24:D24"/>
    <mergeCell ref="B20:D20"/>
    <mergeCell ref="B33:D33"/>
    <mergeCell ref="B5:D5"/>
    <mergeCell ref="B36:D36"/>
    <mergeCell ref="B41:D41"/>
    <mergeCell ref="B32:D32"/>
    <mergeCell ref="B35:D35"/>
    <mergeCell ref="B26:D26"/>
    <mergeCell ref="B7:D7"/>
    <mergeCell ref="B25:D25"/>
    <mergeCell ref="B16:D16"/>
    <mergeCell ref="B3:D3"/>
    <mergeCell ref="B31:D31"/>
    <mergeCell ref="B22:D22"/>
    <mergeCell ref="B18:D18"/>
    <mergeCell ref="B27:D27"/>
    <mergeCell ref="B21:D21"/>
    <mergeCell ref="B43:D43"/>
    <mergeCell ref="B12:D12"/>
    <mergeCell ref="B39:D39"/>
    <mergeCell ref="B2:D2"/>
  </mergeCells>
  <pageMargins left="0.75" right="0.75" top="1" bottom="1" header="0.5" footer="0.5"/>
</worksheet>
</file>

<file path=xl/worksheets/sheet2.xml><?xml version="1.0" encoding="utf-8"?>
<worksheet xmlns="http://schemas.openxmlformats.org/spreadsheetml/2006/main">
  <sheetPr>
    <tabColor rgb="003B5BDB"/>
    <outlinePr summaryBelow="1" summaryRight="1"/>
    <pageSetUpPr/>
  </sheetPr>
  <dimension ref="B1:H16"/>
  <sheetViews>
    <sheetView showGridLines="0" workbookViewId="0">
      <selection activeCell="A1" sqref="A1"/>
    </sheetView>
  </sheetViews>
  <sheetFormatPr baseColWidth="8" defaultRowHeight="15"/>
  <cols>
    <col width="3" customWidth="1" min="1" max="1"/>
    <col width="4" customWidth="1" min="2" max="2"/>
    <col width="32" customWidth="1" min="3" max="3"/>
    <col width="40" customWidth="1" min="4" max="4"/>
    <col width="10" customWidth="1" min="5" max="5"/>
    <col width="28" customWidth="1" min="6" max="6"/>
    <col width="3" customWidth="1" min="7" max="7"/>
    <col hidden="1" width="18" customWidth="1" min="8" max="8"/>
  </cols>
  <sheetData>
    <row r="1" ht="32" customHeight="1">
      <c r="B1" s="6" t="inlineStr">
        <is>
          <t>Archetypes of Automation — Team Capability Assessment</t>
        </is>
      </c>
    </row>
    <row r="3" ht="24" customHeight="1">
      <c r="B3" s="7" t="inlineStr">
        <is>
          <t>Name &amp; Role:</t>
        </is>
      </c>
      <c r="C3" s="8" t="inlineStr">
        <is>
          <t>e.g. Jane Smith, Operations Lead</t>
        </is>
      </c>
    </row>
    <row r="5" ht="28" customHeight="1">
      <c r="B5" s="9" t="inlineStr">
        <is>
          <t>#</t>
        </is>
      </c>
      <c r="C5" s="9" t="inlineStr">
        <is>
          <t>Archetype</t>
        </is>
      </c>
      <c r="D5" s="9" t="inlineStr">
        <is>
          <t>Description</t>
        </is>
      </c>
      <c r="E5" s="9" t="inlineStr">
        <is>
          <t>Score
(0–10)</t>
        </is>
      </c>
      <c r="F5" s="9" t="inlineStr">
        <is>
          <t>Band</t>
        </is>
      </c>
    </row>
    <row r="6" ht="36" customHeight="1">
      <c r="B6" s="10" t="n">
        <v>1</v>
      </c>
      <c r="C6" s="11" t="inlineStr">
        <is>
          <t>Process &amp; Knowledge Holding</t>
        </is>
      </c>
      <c r="D6" s="12" t="inlineStr">
        <is>
          <t>Understanding, retaining, and communicating how work actually happens</t>
        </is>
      </c>
      <c r="E6" s="13" t="n">
        <v>0</v>
      </c>
      <c r="F6" s="14">
        <f>IF(E6&lt;=2,"0-2: No one on the team fills this role; capability absent",IF(E6&lt;=4,"3-4: Emerging - someone shows instinct but no structured practice",IF(E6&lt;=6,"5-6: Functional - team has some coverage but with notable gaps",IF(E6&lt;=8,"7-8: Strong - reliable team capability; people know who to go to","9-10: Exceptional - a clear team strength; you set the standard"))))</f>
        <v/>
      </c>
      <c r="H6" t="inlineStr">
        <is>
          <t>1. Process</t>
        </is>
      </c>
    </row>
    <row r="7" ht="36" customHeight="1">
      <c r="B7" s="10" t="n">
        <v>2</v>
      </c>
      <c r="C7" s="15" t="inlineStr">
        <is>
          <t>Problem Definition</t>
        </is>
      </c>
      <c r="D7" s="16" t="inlineStr">
        <is>
          <t>Identifying, articulating, and prioritizing what is worth automating</t>
        </is>
      </c>
      <c r="E7" s="13" t="n">
        <v>0</v>
      </c>
      <c r="F7" s="17">
        <f>IF(E7&lt;=2,"0-2: No one on the team fills this role; capability absent",IF(E7&lt;=4,"3-4: Emerging - someone shows instinct but no structured practice",IF(E7&lt;=6,"5-6: Functional - team has some coverage but with notable gaps",IF(E7&lt;=8,"7-8: Strong - reliable team capability; people know who to go to","9-10: Exceptional - a clear team strength; you set the standard"))))</f>
        <v/>
      </c>
      <c r="H7" t="inlineStr">
        <is>
          <t>2. Problem Def.</t>
        </is>
      </c>
    </row>
    <row r="8" ht="36" customHeight="1">
      <c r="B8" s="10" t="n">
        <v>3</v>
      </c>
      <c r="C8" s="11" t="inlineStr">
        <is>
          <t>Design &amp; Logic Thinking</t>
        </is>
      </c>
      <c r="D8" s="12" t="inlineStr">
        <is>
          <t>Translating real-world processes into explicit logic before touching any tool</t>
        </is>
      </c>
      <c r="E8" s="13" t="n">
        <v>0</v>
      </c>
      <c r="F8" s="14">
        <f>IF(E8&lt;=2,"0-2: No one on the team fills this role; capability absent",IF(E8&lt;=4,"3-4: Emerging - someone shows instinct but no structured practice",IF(E8&lt;=6,"5-6: Functional - team has some coverage but with notable gaps",IF(E8&lt;=8,"7-8: Strong - reliable team capability; people know who to go to","9-10: Exceptional - a clear team strength; you set the standard"))))</f>
        <v/>
      </c>
      <c r="H8" t="inlineStr">
        <is>
          <t>3. Design &amp; Logic</t>
        </is>
      </c>
    </row>
    <row r="9" ht="36" customHeight="1">
      <c r="B9" s="10" t="n">
        <v>4</v>
      </c>
      <c r="C9" s="15" t="inlineStr">
        <is>
          <t>Communication &amp; Translation</t>
        </is>
      </c>
      <c r="D9" s="16" t="inlineStr">
        <is>
          <t>Bridging the gap between process owners and builders</t>
        </is>
      </c>
      <c r="E9" s="13" t="n">
        <v>0</v>
      </c>
      <c r="F9" s="17">
        <f>IF(E9&lt;=2,"0-2: No one on the team fills this role; capability absent",IF(E9&lt;=4,"3-4: Emerging - someone shows instinct but no structured practice",IF(E9&lt;=6,"5-6: Functional - team has some coverage but with notable gaps",IF(E9&lt;=8,"7-8: Strong - reliable team capability; people know who to go to","9-10: Exceptional - a clear team strength; you set the standard"))))</f>
        <v/>
      </c>
      <c r="H9" t="inlineStr">
        <is>
          <t>4. Communication</t>
        </is>
      </c>
    </row>
    <row r="10" ht="36" customHeight="1">
      <c r="B10" s="10" t="n">
        <v>5</v>
      </c>
      <c r="C10" s="11" t="inlineStr">
        <is>
          <t>Building &amp; Implementation</t>
        </is>
      </c>
      <c r="D10" s="12" t="inlineStr">
        <is>
          <t>Constructing automations using tools, AI, or both</t>
        </is>
      </c>
      <c r="E10" s="13" t="n">
        <v>0</v>
      </c>
      <c r="F10" s="14">
        <f>IF(E10&lt;=2,"0-2: No one on the team fills this role; capability absent",IF(E10&lt;=4,"3-4: Emerging - someone shows instinct but no structured practice",IF(E10&lt;=6,"5-6: Functional - team has some coverage but with notable gaps",IF(E10&lt;=8,"7-8: Strong - reliable team capability; people know who to go to","9-10: Exceptional - a clear team strength; you set the standard"))))</f>
        <v/>
      </c>
      <c r="H10" t="inlineStr">
        <is>
          <t>5. Building</t>
        </is>
      </c>
    </row>
    <row r="11" ht="36" customHeight="1">
      <c r="B11" s="10" t="n">
        <v>6</v>
      </c>
      <c r="C11" s="15" t="inlineStr">
        <is>
          <t>Quality &amp; Oversight</t>
        </is>
      </c>
      <c r="D11" s="16" t="inlineStr">
        <is>
          <t>Verifying automations work correctly, including failure scenarios</t>
        </is>
      </c>
      <c r="E11" s="13" t="n">
        <v>0</v>
      </c>
      <c r="F11" s="17">
        <f>IF(E11&lt;=2,"0-2: No one on the team fills this role; capability absent",IF(E11&lt;=4,"3-4: Emerging - someone shows instinct but no structured practice",IF(E11&lt;=6,"5-6: Functional - team has some coverage but with notable gaps",IF(E11&lt;=8,"7-8: Strong - reliable team capability; people know who to go to","9-10: Exceptional - a clear team strength; you set the standard"))))</f>
        <v/>
      </c>
      <c r="H11" t="inlineStr">
        <is>
          <t>6. Quality</t>
        </is>
      </c>
    </row>
    <row r="12" ht="36" customHeight="1">
      <c r="B12" s="10" t="n">
        <v>7</v>
      </c>
      <c r="C12" s="11" t="inlineStr">
        <is>
          <t>Human &amp; Organizational Awareness</t>
        </is>
      </c>
      <c r="D12" s="12" t="inlineStr">
        <is>
          <t>Managing adoption, resistance, ownership, and compliance</t>
        </is>
      </c>
      <c r="E12" s="13" t="n">
        <v>0</v>
      </c>
      <c r="F12" s="14">
        <f>IF(E12&lt;=2,"0-2: No one on the team fills this role; capability absent",IF(E12&lt;=4,"3-4: Emerging - someone shows instinct but no structured practice",IF(E12&lt;=6,"5-6: Functional - team has some coverage but with notable gaps",IF(E12&lt;=8,"7-8: Strong - reliable team capability; people know who to go to","9-10: Exceptional - a clear team strength; you set the standard"))))</f>
        <v/>
      </c>
      <c r="H12" t="inlineStr">
        <is>
          <t>7. People &amp; Org.</t>
        </is>
      </c>
    </row>
    <row r="13" ht="36" customHeight="1">
      <c r="B13" s="10" t="n">
        <v>8</v>
      </c>
      <c r="C13" s="15" t="inlineStr">
        <is>
          <t>Strategic &amp; Vision Thinking</t>
        </is>
      </c>
      <c r="D13" s="16" t="inlineStr">
        <is>
          <t>Connecting automation work to measurable business outcomes</t>
        </is>
      </c>
      <c r="E13" s="13" t="n">
        <v>0</v>
      </c>
      <c r="F13" s="17">
        <f>IF(E13&lt;=2,"0-2: No one on the team fills this role; capability absent",IF(E13&lt;=4,"3-4: Emerging - someone shows instinct but no structured practice",IF(E13&lt;=6,"5-6: Functional - team has some coverage but with notable gaps",IF(E13&lt;=8,"7-8: Strong - reliable team capability; people know who to go to","9-10: Exceptional - a clear team strength; you set the standard"))))</f>
        <v/>
      </c>
      <c r="H13" t="inlineStr">
        <is>
          <t>8. Strategy</t>
        </is>
      </c>
    </row>
    <row r="15" ht="30" customHeight="1">
      <c r="B15" s="18" t="inlineStr">
        <is>
          <t>Total Score</t>
        </is>
      </c>
      <c r="E15" s="19">
        <f>SUM(E6:E13)</f>
        <v/>
      </c>
    </row>
    <row r="16" ht="28" customHeight="1">
      <c r="B16" s="20" t="inlineStr">
        <is>
          <t>Team Profile</t>
        </is>
      </c>
      <c r="E16" s="21">
        <f>IF(E15&lt;=20,"Early-Stage Team",IF(E15&lt;=35,"Developing Team",IF(E15&lt;=50,"Capable Team",IF(E15&lt;=65,"Strong Team","High-Performing Team"))))</f>
        <v/>
      </c>
      <c r="F16" s="22" t="n"/>
    </row>
  </sheetData>
  <mergeCells count="5">
    <mergeCell ref="E16:F16"/>
    <mergeCell ref="B1:F1"/>
    <mergeCell ref="B15:D15"/>
    <mergeCell ref="C3:D3"/>
    <mergeCell ref="B16:D16"/>
  </mergeCells>
  <conditionalFormatting sqref="E6:E13">
    <cfRule type="colorScale" priority="1">
      <colorScale>
        <cfvo type="num" val="0"/>
        <cfvo type="num" val="5"/>
        <cfvo type="num" val="10"/>
        <color rgb="FFADB5BD"/>
        <color rgb="FFFFD700"/>
        <color rgb="FF2B8A3E"/>
      </colorScale>
    </cfRule>
  </conditionalFormatting>
  <dataValidations count="1">
    <dataValidation sqref="E6 E7 E8 E9 E10 E11 E12 E13" showDropDown="0" showInputMessage="1" showErrorMessage="1" allowBlank="0" errorTitle="Invalid score" error="Please enter a whole number from 0 to 10." promptTitle="Score 0–10" prompt="Enter a whole number from 0 to 10." type="whole" operator="between">
      <formula1>0</formula1>
      <formula2>10</formula2>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7048E8"/>
    <outlinePr summaryBelow="1" summaryRight="1"/>
    <pageSetUpPr/>
  </sheetPr>
  <dimension ref="B1:M23"/>
  <sheetViews>
    <sheetView showGridLines="0" workbookViewId="0">
      <selection activeCell="A1" sqref="A1"/>
    </sheetView>
  </sheetViews>
  <sheetFormatPr baseColWidth="8" defaultRowHeight="15"/>
  <cols>
    <col width="3" customWidth="1" min="1" max="1"/>
    <col width="4" customWidth="1" min="2" max="2"/>
    <col width="3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0" customWidth="1" min="12" max="12"/>
    <col hidden="1" width="18" customWidth="1" min="13" max="13"/>
  </cols>
  <sheetData>
    <row r="1" ht="32" customHeight="1">
      <c r="B1" s="6" t="inlineStr">
        <is>
          <t>Archetypes of Automation — Assessment Perspectives</t>
        </is>
      </c>
    </row>
    <row r="2" ht="18" customHeight="1">
      <c r="B2" s="23" t="inlineStr">
        <is>
          <t>Each column = one evaluator's assessment of the team. The radar chart and gap analysis update automatically.</t>
        </is>
      </c>
    </row>
    <row r="3" ht="18" customHeight="1">
      <c r="D3" s="24" t="inlineStr">
        <is>
          <t>Evaluator 1 -&gt;</t>
        </is>
      </c>
      <c r="E3" s="24" t="inlineStr">
        <is>
          <t>Evaluator 2 -&gt;</t>
        </is>
      </c>
      <c r="F3" s="24" t="inlineStr">
        <is>
          <t>Evaluator 3 -&gt;</t>
        </is>
      </c>
      <c r="G3" s="24" t="inlineStr">
        <is>
          <t>Evaluator 4 -&gt;</t>
        </is>
      </c>
      <c r="H3" s="24" t="inlineStr">
        <is>
          <t>Evaluator 5 -&gt;</t>
        </is>
      </c>
      <c r="I3" s="24" t="inlineStr">
        <is>
          <t>Evaluator 6 -&gt;</t>
        </is>
      </c>
      <c r="J3" s="24" t="inlineStr">
        <is>
          <t>Evaluator 7 -&gt;</t>
        </is>
      </c>
      <c r="K3" s="24" t="inlineStr">
        <is>
          <t>Evaluator 8 -&gt;</t>
        </is>
      </c>
    </row>
    <row r="4" ht="24" customHeight="1">
      <c r="B4" s="25" t="inlineStr">
        <is>
          <t>#</t>
        </is>
      </c>
      <c r="C4" s="25" t="inlineStr">
        <is>
          <t>Archetype</t>
        </is>
      </c>
      <c r="D4" s="25" t="inlineStr">
        <is>
          <t>Evaluator 1</t>
        </is>
      </c>
      <c r="E4" s="26" t="inlineStr">
        <is>
          <t>Evaluator 2</t>
        </is>
      </c>
      <c r="F4" s="25" t="inlineStr">
        <is>
          <t>Evaluator 3</t>
        </is>
      </c>
      <c r="G4" s="26" t="inlineStr">
        <is>
          <t>Evaluator 4</t>
        </is>
      </c>
      <c r="H4" s="25" t="inlineStr">
        <is>
          <t>Evaluator 5</t>
        </is>
      </c>
      <c r="I4" s="26" t="inlineStr">
        <is>
          <t>Evaluator 6</t>
        </is>
      </c>
      <c r="J4" s="25" t="inlineStr">
        <is>
          <t>Evaluator 7</t>
        </is>
      </c>
      <c r="K4" s="26" t="inlineStr">
        <is>
          <t>Evaluator 8</t>
        </is>
      </c>
      <c r="L4" s="25" t="inlineStr">
        <is>
          <t>Avg</t>
        </is>
      </c>
    </row>
    <row r="5" ht="30" customHeight="1">
      <c r="B5" s="10" t="n">
        <v>1</v>
      </c>
      <c r="C5" s="11" t="inlineStr">
        <is>
          <t>Process &amp; Knowledge Holding</t>
        </is>
      </c>
      <c r="D5" s="27" t="n">
        <v>0</v>
      </c>
      <c r="E5" s="28" t="n">
        <v>0</v>
      </c>
      <c r="F5" s="27" t="n">
        <v>0</v>
      </c>
      <c r="G5" s="28" t="n">
        <v>0</v>
      </c>
      <c r="H5" s="27" t="n">
        <v>0</v>
      </c>
      <c r="I5" s="28" t="n">
        <v>0</v>
      </c>
      <c r="J5" s="27" t="n">
        <v>0</v>
      </c>
      <c r="K5" s="28" t="n">
        <v>0</v>
      </c>
      <c r="L5" s="29">
        <f>AVERAGE(D5:K5)</f>
        <v/>
      </c>
      <c r="M5" t="inlineStr">
        <is>
          <t>1. Process</t>
        </is>
      </c>
    </row>
    <row r="6" ht="30" customHeight="1">
      <c r="B6" s="10" t="n">
        <v>2</v>
      </c>
      <c r="C6" s="15" t="inlineStr">
        <is>
          <t>Problem Definition</t>
        </is>
      </c>
      <c r="D6" s="27" t="n">
        <v>0</v>
      </c>
      <c r="E6" s="28" t="n">
        <v>0</v>
      </c>
      <c r="F6" s="27" t="n">
        <v>0</v>
      </c>
      <c r="G6" s="28" t="n">
        <v>0</v>
      </c>
      <c r="H6" s="27" t="n">
        <v>0</v>
      </c>
      <c r="I6" s="28" t="n">
        <v>0</v>
      </c>
      <c r="J6" s="27" t="n">
        <v>0</v>
      </c>
      <c r="K6" s="28" t="n">
        <v>0</v>
      </c>
      <c r="L6" s="29">
        <f>AVERAGE(D6:K6)</f>
        <v/>
      </c>
      <c r="M6" t="inlineStr">
        <is>
          <t>2. Problem Def.</t>
        </is>
      </c>
    </row>
    <row r="7" ht="30" customHeight="1">
      <c r="B7" s="10" t="n">
        <v>3</v>
      </c>
      <c r="C7" s="11" t="inlineStr">
        <is>
          <t>Design &amp; Logic Thinking</t>
        </is>
      </c>
      <c r="D7" s="27" t="n">
        <v>0</v>
      </c>
      <c r="E7" s="28" t="n">
        <v>0</v>
      </c>
      <c r="F7" s="27" t="n">
        <v>0</v>
      </c>
      <c r="G7" s="28" t="n">
        <v>0</v>
      </c>
      <c r="H7" s="27" t="n">
        <v>0</v>
      </c>
      <c r="I7" s="28" t="n">
        <v>0</v>
      </c>
      <c r="J7" s="27" t="n">
        <v>0</v>
      </c>
      <c r="K7" s="28" t="n">
        <v>0</v>
      </c>
      <c r="L7" s="29">
        <f>AVERAGE(D7:K7)</f>
        <v/>
      </c>
      <c r="M7" t="inlineStr">
        <is>
          <t>3. Design &amp; Logic</t>
        </is>
      </c>
    </row>
    <row r="8" ht="30" customHeight="1">
      <c r="B8" s="10" t="n">
        <v>4</v>
      </c>
      <c r="C8" s="15" t="inlineStr">
        <is>
          <t>Communication &amp; Translation</t>
        </is>
      </c>
      <c r="D8" s="27" t="n">
        <v>0</v>
      </c>
      <c r="E8" s="28" t="n">
        <v>0</v>
      </c>
      <c r="F8" s="27" t="n">
        <v>0</v>
      </c>
      <c r="G8" s="28" t="n">
        <v>0</v>
      </c>
      <c r="H8" s="27" t="n">
        <v>0</v>
      </c>
      <c r="I8" s="28" t="n">
        <v>0</v>
      </c>
      <c r="J8" s="27" t="n">
        <v>0</v>
      </c>
      <c r="K8" s="28" t="n">
        <v>0</v>
      </c>
      <c r="L8" s="29">
        <f>AVERAGE(D8:K8)</f>
        <v/>
      </c>
      <c r="M8" t="inlineStr">
        <is>
          <t>4. Communication</t>
        </is>
      </c>
    </row>
    <row r="9" ht="30" customHeight="1">
      <c r="B9" s="10" t="n">
        <v>5</v>
      </c>
      <c r="C9" s="11" t="inlineStr">
        <is>
          <t>Building &amp; Implementation</t>
        </is>
      </c>
      <c r="D9" s="27" t="n">
        <v>0</v>
      </c>
      <c r="E9" s="28" t="n">
        <v>0</v>
      </c>
      <c r="F9" s="27" t="n">
        <v>0</v>
      </c>
      <c r="G9" s="28" t="n">
        <v>0</v>
      </c>
      <c r="H9" s="27" t="n">
        <v>0</v>
      </c>
      <c r="I9" s="28" t="n">
        <v>0</v>
      </c>
      <c r="J9" s="27" t="n">
        <v>0</v>
      </c>
      <c r="K9" s="28" t="n">
        <v>0</v>
      </c>
      <c r="L9" s="29">
        <f>AVERAGE(D9:K9)</f>
        <v/>
      </c>
      <c r="M9" t="inlineStr">
        <is>
          <t>5. Building</t>
        </is>
      </c>
    </row>
    <row r="10" ht="30" customHeight="1">
      <c r="B10" s="10" t="n">
        <v>6</v>
      </c>
      <c r="C10" s="15" t="inlineStr">
        <is>
          <t>Quality &amp; Oversight</t>
        </is>
      </c>
      <c r="D10" s="27" t="n">
        <v>0</v>
      </c>
      <c r="E10" s="28" t="n">
        <v>0</v>
      </c>
      <c r="F10" s="27" t="n">
        <v>0</v>
      </c>
      <c r="G10" s="28" t="n">
        <v>0</v>
      </c>
      <c r="H10" s="27" t="n">
        <v>0</v>
      </c>
      <c r="I10" s="28" t="n">
        <v>0</v>
      </c>
      <c r="J10" s="27" t="n">
        <v>0</v>
      </c>
      <c r="K10" s="28" t="n">
        <v>0</v>
      </c>
      <c r="L10" s="29">
        <f>AVERAGE(D10:K10)</f>
        <v/>
      </c>
      <c r="M10" t="inlineStr">
        <is>
          <t>6. Quality</t>
        </is>
      </c>
    </row>
    <row r="11" ht="30" customHeight="1">
      <c r="B11" s="10" t="n">
        <v>7</v>
      </c>
      <c r="C11" s="11" t="inlineStr">
        <is>
          <t>Human &amp; Organizational Awareness</t>
        </is>
      </c>
      <c r="D11" s="27" t="n">
        <v>0</v>
      </c>
      <c r="E11" s="28" t="n">
        <v>0</v>
      </c>
      <c r="F11" s="27" t="n">
        <v>0</v>
      </c>
      <c r="G11" s="28" t="n">
        <v>0</v>
      </c>
      <c r="H11" s="27" t="n">
        <v>0</v>
      </c>
      <c r="I11" s="28" t="n">
        <v>0</v>
      </c>
      <c r="J11" s="27" t="n">
        <v>0</v>
      </c>
      <c r="K11" s="28" t="n">
        <v>0</v>
      </c>
      <c r="L11" s="29">
        <f>AVERAGE(D11:K11)</f>
        <v/>
      </c>
      <c r="M11" t="inlineStr">
        <is>
          <t>7. People &amp; Org.</t>
        </is>
      </c>
    </row>
    <row r="12" ht="30" customHeight="1">
      <c r="B12" s="10" t="n">
        <v>8</v>
      </c>
      <c r="C12" s="15" t="inlineStr">
        <is>
          <t>Strategic &amp; Vision Thinking</t>
        </is>
      </c>
      <c r="D12" s="27" t="n">
        <v>0</v>
      </c>
      <c r="E12" s="28" t="n">
        <v>0</v>
      </c>
      <c r="F12" s="27" t="n">
        <v>0</v>
      </c>
      <c r="G12" s="28" t="n">
        <v>0</v>
      </c>
      <c r="H12" s="27" t="n">
        <v>0</v>
      </c>
      <c r="I12" s="28" t="n">
        <v>0</v>
      </c>
      <c r="J12" s="27" t="n">
        <v>0</v>
      </c>
      <c r="K12" s="28" t="n">
        <v>0</v>
      </c>
      <c r="L12" s="29">
        <f>AVERAGE(D12:K12)</f>
        <v/>
      </c>
      <c r="M12" t="inlineStr">
        <is>
          <t>8. Strategy</t>
        </is>
      </c>
    </row>
    <row r="13" ht="28" customHeight="1">
      <c r="B13" s="10" t="inlineStr">
        <is>
          <t>Totals (sum)</t>
        </is>
      </c>
      <c r="D13" s="30">
        <f>SUM(D5:D12)</f>
        <v/>
      </c>
      <c r="E13" s="30">
        <f>SUM(E5:E12)</f>
        <v/>
      </c>
      <c r="F13" s="30">
        <f>SUM(F5:F12)</f>
        <v/>
      </c>
      <c r="G13" s="30">
        <f>SUM(G5:G12)</f>
        <v/>
      </c>
      <c r="H13" s="30">
        <f>SUM(H5:H12)</f>
        <v/>
      </c>
      <c r="I13" s="30">
        <f>SUM(I5:I12)</f>
        <v/>
      </c>
      <c r="J13" s="30">
        <f>SUM(J5:J12)</f>
        <v/>
      </c>
      <c r="K13" s="30">
        <f>SUM(K5:K12)</f>
        <v/>
      </c>
      <c r="L13" s="31">
        <f>AVERAGE(D13:K13)</f>
        <v/>
      </c>
    </row>
    <row r="15" ht="22" customHeight="1">
      <c r="B15" s="32" t="inlineStr">
        <is>
          <t>Gap Analysis — Average by Archetype (lower = bigger gap)</t>
        </is>
      </c>
      <c r="L15" s="33" t="inlineStr">
        <is>
          <t>Avg</t>
        </is>
      </c>
    </row>
    <row r="16" ht="18" customHeight="1">
      <c r="B16" s="34" t="n">
        <v>1</v>
      </c>
      <c r="C16" s="35" t="inlineStr">
        <is>
          <t>Process &amp; Knowledge Holding</t>
        </is>
      </c>
      <c r="L16" s="36">
        <f>L5</f>
        <v/>
      </c>
    </row>
    <row r="17" ht="18" customHeight="1">
      <c r="B17" s="34" t="n">
        <v>2</v>
      </c>
      <c r="C17" s="35" t="inlineStr">
        <is>
          <t>Problem Definition</t>
        </is>
      </c>
      <c r="L17" s="36">
        <f>L6</f>
        <v/>
      </c>
    </row>
    <row r="18" ht="18" customHeight="1">
      <c r="B18" s="34" t="n">
        <v>3</v>
      </c>
      <c r="C18" s="35" t="inlineStr">
        <is>
          <t>Design &amp; Logic Thinking</t>
        </is>
      </c>
      <c r="L18" s="36">
        <f>L7</f>
        <v/>
      </c>
    </row>
    <row r="19" ht="18" customHeight="1">
      <c r="B19" s="34" t="n">
        <v>4</v>
      </c>
      <c r="C19" s="35" t="inlineStr">
        <is>
          <t>Communication &amp; Translation</t>
        </is>
      </c>
      <c r="L19" s="36">
        <f>L8</f>
        <v/>
      </c>
    </row>
    <row r="20" ht="18" customHeight="1">
      <c r="B20" s="34" t="n">
        <v>5</v>
      </c>
      <c r="C20" s="35" t="inlineStr">
        <is>
          <t>Building &amp; Implementation</t>
        </is>
      </c>
      <c r="L20" s="36">
        <f>L9</f>
        <v/>
      </c>
    </row>
    <row r="21" ht="18" customHeight="1">
      <c r="B21" s="34" t="n">
        <v>6</v>
      </c>
      <c r="C21" s="35" t="inlineStr">
        <is>
          <t>Quality &amp; Oversight</t>
        </is>
      </c>
      <c r="L21" s="36">
        <f>L10</f>
        <v/>
      </c>
    </row>
    <row r="22" ht="18" customHeight="1">
      <c r="B22" s="34" t="n">
        <v>7</v>
      </c>
      <c r="C22" s="35" t="inlineStr">
        <is>
          <t>Human &amp; Organizational Awareness</t>
        </is>
      </c>
      <c r="L22" s="36">
        <f>L11</f>
        <v/>
      </c>
    </row>
    <row r="23" ht="18" customHeight="1">
      <c r="B23" s="34" t="n">
        <v>8</v>
      </c>
      <c r="C23" s="35" t="inlineStr">
        <is>
          <t>Strategic &amp; Vision Thinking</t>
        </is>
      </c>
      <c r="L23" s="36">
        <f>L12</f>
        <v/>
      </c>
    </row>
  </sheetData>
  <mergeCells count="4">
    <mergeCell ref="B13:C13"/>
    <mergeCell ref="B1:K1"/>
    <mergeCell ref="B15:C15"/>
    <mergeCell ref="B2:K2"/>
  </mergeCells>
  <conditionalFormatting sqref="D5:D12">
    <cfRule type="colorScale" priority="1">
      <colorScale>
        <cfvo type="num" val="0"/>
        <cfvo type="num" val="5"/>
        <cfvo type="num" val="10"/>
        <color rgb="FFADB5BD"/>
        <color rgb="FFFFD700"/>
        <color rgb="FF2B8A3E"/>
      </colorScale>
    </cfRule>
  </conditionalFormatting>
  <conditionalFormatting sqref="E5:E12">
    <cfRule type="colorScale" priority="2">
      <colorScale>
        <cfvo type="num" val="0"/>
        <cfvo type="num" val="5"/>
        <cfvo type="num" val="10"/>
        <color rgb="FFADB5BD"/>
        <color rgb="FFFFD700"/>
        <color rgb="FF2B8A3E"/>
      </colorScale>
    </cfRule>
  </conditionalFormatting>
  <conditionalFormatting sqref="F5:F12">
    <cfRule type="colorScale" priority="3">
      <colorScale>
        <cfvo type="num" val="0"/>
        <cfvo type="num" val="5"/>
        <cfvo type="num" val="10"/>
        <color rgb="FFADB5BD"/>
        <color rgb="FFFFD700"/>
        <color rgb="FF2B8A3E"/>
      </colorScale>
    </cfRule>
  </conditionalFormatting>
  <conditionalFormatting sqref="G5:G12">
    <cfRule type="colorScale" priority="4">
      <colorScale>
        <cfvo type="num" val="0"/>
        <cfvo type="num" val="5"/>
        <cfvo type="num" val="10"/>
        <color rgb="FFADB5BD"/>
        <color rgb="FFFFD700"/>
        <color rgb="FF2B8A3E"/>
      </colorScale>
    </cfRule>
  </conditionalFormatting>
  <conditionalFormatting sqref="H5:H12">
    <cfRule type="colorScale" priority="5">
      <colorScale>
        <cfvo type="num" val="0"/>
        <cfvo type="num" val="5"/>
        <cfvo type="num" val="10"/>
        <color rgb="FFADB5BD"/>
        <color rgb="FFFFD700"/>
        <color rgb="FF2B8A3E"/>
      </colorScale>
    </cfRule>
  </conditionalFormatting>
  <conditionalFormatting sqref="I5:I12">
    <cfRule type="colorScale" priority="6">
      <colorScale>
        <cfvo type="num" val="0"/>
        <cfvo type="num" val="5"/>
        <cfvo type="num" val="10"/>
        <color rgb="FFADB5BD"/>
        <color rgb="FFFFD700"/>
        <color rgb="FF2B8A3E"/>
      </colorScale>
    </cfRule>
  </conditionalFormatting>
  <conditionalFormatting sqref="J5:J12">
    <cfRule type="colorScale" priority="7">
      <colorScale>
        <cfvo type="num" val="0"/>
        <cfvo type="num" val="5"/>
        <cfvo type="num" val="10"/>
        <color rgb="FFADB5BD"/>
        <color rgb="FFFFD700"/>
        <color rgb="FF2B8A3E"/>
      </colorScale>
    </cfRule>
  </conditionalFormatting>
  <conditionalFormatting sqref="K5:K12">
    <cfRule type="colorScale" priority="8">
      <colorScale>
        <cfvo type="num" val="0"/>
        <cfvo type="num" val="5"/>
        <cfvo type="num" val="10"/>
        <color rgb="FFADB5BD"/>
        <color rgb="FFFFD700"/>
        <color rgb="FF2B8A3E"/>
      </colorScale>
    </cfRule>
  </conditionalFormatting>
  <conditionalFormatting sqref="L16:L23">
    <cfRule type="colorScale" priority="9">
      <colorScale>
        <cfvo type="num" val="0"/>
        <cfvo type="num" val="5"/>
        <cfvo type="num" val="10"/>
        <color rgb="FFE03131"/>
        <color rgb="FFFFD700"/>
        <color rgb="FF2B8A3E"/>
      </colorScale>
    </cfRule>
  </conditionalFormatting>
  <dataValidations count="1">
    <dataValidation sqref="D5 D6 D7 D8 D9 D10 D11 D12 E5 E6 E7 E8 E9 E10 E11 E12 F5 F6 F7 F8 F9 F10 F11 F12 G5 G6 G7 G8 G9 G10 G11 G12 H5 H6 H7 H8 H9 H10 H11 H12 I5 I6 I7 I8 I9 I10 I11 I12 J5 J6 J7 J8 J9 J10 J11 J12 K5 K6 K7 K8 K9 K10 K11 K12" showDropDown="0" showInputMessage="1" showErrorMessage="1" allowBlank="0" errorTitle="Invalid" error="Enter 0–10." promptTitle="Score 0–10" prompt="Enter a whole number from 0 to 10." type="whole" operator="between">
      <formula1>0</formula1>
      <formula2>10</formula2>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2B8A3E"/>
    <outlinePr summaryBelow="1" summaryRight="1"/>
    <pageSetUpPr/>
  </sheetPr>
  <dimension ref="B1:F36"/>
  <sheetViews>
    <sheetView showGridLines="0" workbookViewId="0">
      <selection activeCell="A1" sqref="A1"/>
    </sheetView>
  </sheetViews>
  <sheetFormatPr baseColWidth="8" defaultRowHeight="15"/>
  <cols>
    <col width="3" customWidth="1" min="1" max="1"/>
    <col width="4" customWidth="1" min="2" max="2"/>
    <col width="30" customWidth="1" min="3" max="3"/>
    <col width="28" customWidth="1" min="4" max="4"/>
    <col width="38" customWidth="1" min="5" max="5"/>
    <col width="34" customWidth="1" min="6" max="6"/>
    <col width="3" customWidth="1" min="7" max="7"/>
  </cols>
  <sheetData>
    <row r="1" ht="32" customHeight="1">
      <c r="B1" s="6" t="inlineStr">
        <is>
          <t>Archetypes of Automation — Framework Reference</t>
        </is>
      </c>
    </row>
    <row r="3" ht="24" customHeight="1">
      <c r="B3" s="37" t="inlineStr">
        <is>
          <t>#</t>
        </is>
      </c>
      <c r="C3" s="37" t="inlineStr">
        <is>
          <t>Archetype</t>
        </is>
      </c>
      <c r="D3" s="37" t="inlineStr">
        <is>
          <t>Sub-Archetype</t>
        </is>
      </c>
      <c r="E3" s="37" t="inlineStr">
        <is>
          <t>Role / Strength</t>
        </is>
      </c>
      <c r="F3" s="37" t="inlineStr">
        <is>
          <t>Framework Citation</t>
        </is>
      </c>
    </row>
    <row r="4" ht="22" customHeight="1">
      <c r="B4" s="10" t="n">
        <v>1</v>
      </c>
      <c r="C4" s="38" t="inlineStr">
        <is>
          <t>Process &amp; Knowledge Holding</t>
        </is>
      </c>
      <c r="D4" s="39" t="inlineStr">
        <is>
          <t>The Tribal Knowledge Keeper</t>
        </is>
      </c>
      <c r="E4" s="40" t="inlineStr">
        <is>
          <t>Holds undocumented 'real' process knowledge</t>
        </is>
      </c>
      <c r="F4" s="41" t="inlineStr">
        <is>
          <t>Nonaka &amp; Takeuchi</t>
        </is>
      </c>
    </row>
    <row r="5" ht="22" customHeight="1">
      <c r="B5" s="42" t="n"/>
      <c r="C5" s="42" t="n"/>
      <c r="D5" s="39" t="inlineStr">
        <is>
          <t>The Exception Whisperer</t>
        </is>
      </c>
      <c r="E5" s="40" t="inlineStr">
        <is>
          <t>Knows every edge case</t>
        </is>
      </c>
      <c r="F5" s="41" t="inlineStr">
        <is>
          <t>FMEA; Agile edge case testing</t>
        </is>
      </c>
    </row>
    <row r="6" ht="22" customHeight="1">
      <c r="B6" s="42" t="n"/>
      <c r="C6" s="42" t="n"/>
      <c r="D6" s="39" t="inlineStr">
        <is>
          <t>The Process Archaeologist</t>
        </is>
      </c>
      <c r="E6" s="40" t="inlineStr">
        <is>
          <t>Understands why processes exist</t>
        </is>
      </c>
      <c r="F6" s="41" t="inlineStr">
        <is>
          <t>Root Cause Analysis; Toyota 5 Whys</t>
        </is>
      </c>
    </row>
    <row r="7" ht="22" customHeight="1">
      <c r="B7" s="43" t="n"/>
      <c r="C7" s="43" t="n"/>
      <c r="D7" s="39" t="inlineStr">
        <is>
          <t>The Documenter</t>
        </is>
      </c>
      <c r="E7" s="40" t="inlineStr">
        <is>
          <t>Translates processes into structured steps</t>
        </is>
      </c>
      <c r="F7" s="41" t="inlineStr">
        <is>
          <t>BPM standards; Systemology — Jenyns</t>
        </is>
      </c>
    </row>
    <row r="8" ht="22" customHeight="1">
      <c r="B8" s="10" t="n">
        <v>2</v>
      </c>
      <c r="C8" s="44" t="inlineStr">
        <is>
          <t>Problem Definition</t>
        </is>
      </c>
      <c r="D8" s="45" t="inlineStr">
        <is>
          <t>The Friction Finder</t>
        </is>
      </c>
      <c r="E8" s="46" t="inlineStr">
        <is>
          <t>Identifies where work is slow or painful</t>
        </is>
      </c>
      <c r="F8" s="47" t="inlineStr">
        <is>
          <t>Lean Muda; Making Work Visible — DeGrandis</t>
        </is>
      </c>
    </row>
    <row r="9" ht="22" customHeight="1">
      <c r="B9" s="42" t="n"/>
      <c r="C9" s="42" t="n"/>
      <c r="D9" s="45" t="inlineStr">
        <is>
          <t>The Bottleneck Spotter</t>
        </is>
      </c>
      <c r="E9" s="46" t="inlineStr">
        <is>
          <t>Sees constraints in flow</t>
        </is>
      </c>
      <c r="F9" s="47" t="inlineStr">
        <is>
          <t>Theory of Constraints — Goldratt</t>
        </is>
      </c>
    </row>
    <row r="10" ht="22" customHeight="1">
      <c r="B10" s="42" t="n"/>
      <c r="C10" s="42" t="n"/>
      <c r="D10" s="45" t="inlineStr">
        <is>
          <t>The Scope Realist</t>
        </is>
      </c>
      <c r="E10" s="46" t="inlineStr">
        <is>
          <t>Prevents over-engineering</t>
        </is>
      </c>
      <c r="F10" s="47" t="inlineStr">
        <is>
          <t>Agile MVP; Walking Skeleton</t>
        </is>
      </c>
    </row>
    <row r="11" ht="22" customHeight="1">
      <c r="B11" s="43" t="n"/>
      <c r="C11" s="43" t="n"/>
      <c r="D11" s="45" t="inlineStr">
        <is>
          <t>The Problem Reframer</t>
        </is>
      </c>
      <c r="E11" s="46" t="inlineStr">
        <is>
          <t>Challenges whether the stated problem is the real one</t>
        </is>
      </c>
      <c r="F11" s="47" t="inlineStr">
        <is>
          <t>Design Thinking; Jobs To Be Done — Christensen</t>
        </is>
      </c>
    </row>
    <row r="12" ht="22" customHeight="1">
      <c r="B12" s="10" t="n">
        <v>3</v>
      </c>
      <c r="C12" s="38" t="inlineStr">
        <is>
          <t>Design &amp; Logic Thinking</t>
        </is>
      </c>
      <c r="D12" s="39" t="inlineStr">
        <is>
          <t>The Decision Tree Builder</t>
        </is>
      </c>
      <c r="E12" s="40" t="inlineStr">
        <is>
          <t>Thinks in if/then/else without coding</t>
        </is>
      </c>
      <c r="F12" s="41" t="inlineStr">
        <is>
          <t>Decision Theory; BPMN</t>
        </is>
      </c>
    </row>
    <row r="13" ht="22" customHeight="1">
      <c r="B13" s="42" t="n"/>
      <c r="C13" s="42" t="n"/>
      <c r="D13" s="39" t="inlineStr">
        <is>
          <t>The Data Modeler</t>
        </is>
      </c>
      <c r="E13" s="40" t="inlineStr">
        <is>
          <t>Thinks about data flowing through a process</t>
        </is>
      </c>
      <c r="F13" s="41" t="inlineStr">
        <is>
          <t>Data Flow Diagrams; ER modeling</t>
        </is>
      </c>
    </row>
    <row r="14" ht="22" customHeight="1">
      <c r="B14" s="42" t="n"/>
      <c r="C14" s="42" t="n"/>
      <c r="D14" s="39" t="inlineStr">
        <is>
          <t>The Workflow Choreographer</t>
        </is>
      </c>
      <c r="E14" s="40" t="inlineStr">
        <is>
          <t>Thinks in sequences and dependencies</t>
        </is>
      </c>
      <c r="F14" s="41" t="inlineStr">
        <is>
          <t>Critical Path Method; PMBOK</t>
        </is>
      </c>
    </row>
    <row r="15" ht="22" customHeight="1">
      <c r="B15" s="42" t="n"/>
      <c r="C15" s="42" t="n"/>
      <c r="D15" s="39" t="inlineStr">
        <is>
          <t>The Edge Case Hunter</t>
        </is>
      </c>
      <c r="E15" s="40" t="inlineStr">
        <is>
          <t>Proactively hunts failure modes</t>
        </is>
      </c>
      <c r="F15" s="41" t="inlineStr">
        <is>
          <t>FMEA; Pre-Mortem — Gary Klein</t>
        </is>
      </c>
    </row>
    <row r="16" ht="22" customHeight="1">
      <c r="B16" s="43" t="n"/>
      <c r="C16" s="43" t="n"/>
      <c r="D16" s="39" t="inlineStr">
        <is>
          <t>The Simplicity Advocate</t>
        </is>
      </c>
      <c r="E16" s="40" t="inlineStr">
        <is>
          <t>Enforces maintainability</t>
        </is>
      </c>
      <c r="F16" s="41" t="inlineStr">
        <is>
          <t>KISS; Occam's Razor; Lean</t>
        </is>
      </c>
    </row>
    <row r="17" ht="22" customHeight="1">
      <c r="B17" s="10" t="n">
        <v>4</v>
      </c>
      <c r="C17" s="44" t="inlineStr">
        <is>
          <t>Communication &amp; Translation</t>
        </is>
      </c>
      <c r="D17" s="45" t="inlineStr">
        <is>
          <t>The Bridge Builder</t>
        </is>
      </c>
      <c r="E17" s="46" t="inlineStr">
        <is>
          <t>Translates between technical and non-technical</t>
        </is>
      </c>
      <c r="F17" s="47" t="inlineStr">
        <is>
          <t>Team Topologies; T-shaped skills</t>
        </is>
      </c>
    </row>
    <row r="18" ht="22" customHeight="1">
      <c r="B18" s="42" t="n"/>
      <c r="C18" s="42" t="n"/>
      <c r="D18" s="45" t="inlineStr">
        <is>
          <t>The Stakeholder Whisperer</t>
        </is>
      </c>
      <c r="E18" s="46" t="inlineStr">
        <is>
          <t>Manages the political side of automation</t>
        </is>
      </c>
      <c r="F18" s="47" t="inlineStr">
        <is>
          <t>Kotter's 8-Step; Prosci ADKAR</t>
        </is>
      </c>
    </row>
    <row r="19" ht="22" customHeight="1">
      <c r="B19" s="42" t="n"/>
      <c r="C19" s="42" t="n"/>
      <c r="D19" s="45" t="inlineStr">
        <is>
          <t>The Requirements Articulator</t>
        </is>
      </c>
      <c r="E19" s="46" t="inlineStr">
        <is>
          <t>Converts vague requests into testable requirements</t>
        </is>
      </c>
      <c r="F19" s="47" t="inlineStr">
        <is>
          <t>Agile User Stories; INVEST criteria</t>
        </is>
      </c>
    </row>
    <row r="20" ht="22" customHeight="1">
      <c r="B20" s="43" t="n"/>
      <c r="C20" s="43" t="n"/>
      <c r="D20" s="45" t="inlineStr">
        <is>
          <t>The Trainer</t>
        </is>
      </c>
      <c r="E20" s="46" t="inlineStr">
        <is>
          <t>Ensures work outlives its creator</t>
        </is>
      </c>
      <c r="F20" s="47" t="inlineStr">
        <is>
          <t>Kirkpatrick Model; See One Do One Teach One</t>
        </is>
      </c>
    </row>
    <row r="21" ht="22" customHeight="1">
      <c r="B21" s="10" t="n">
        <v>5</v>
      </c>
      <c r="C21" s="38" t="inlineStr">
        <is>
          <t>Building &amp; Implementation</t>
        </is>
      </c>
      <c r="D21" s="39" t="inlineStr">
        <is>
          <t>The Rapid Prototyper</t>
        </is>
      </c>
      <c r="E21" s="40" t="inlineStr">
        <is>
          <t>Gets something working fast to test assumptions</t>
        </is>
      </c>
      <c r="F21" s="41" t="inlineStr">
        <is>
          <t>Lean Startup Build-Measure-Learn</t>
        </is>
      </c>
    </row>
    <row r="22" ht="22" customHeight="1">
      <c r="B22" s="42" t="n"/>
      <c r="C22" s="42" t="n"/>
      <c r="D22" s="39" t="inlineStr">
        <is>
          <t>The Finisher</t>
        </is>
      </c>
      <c r="E22" s="40" t="inlineStr">
        <is>
          <t>Completes the last 20%</t>
        </is>
      </c>
      <c r="F22" s="41" t="inlineStr">
        <is>
          <t>Pareto Principle; Agile Definition of Done</t>
        </is>
      </c>
    </row>
    <row r="23" ht="22" customHeight="1">
      <c r="B23" s="42" t="n"/>
      <c r="C23" s="42" t="n"/>
      <c r="D23" s="39" t="inlineStr">
        <is>
          <t>The Tool Native</t>
        </is>
      </c>
      <c r="E23" s="40" t="inlineStr">
        <is>
          <t>Picks up new platforms intuitively</t>
        </is>
      </c>
      <c r="F23" s="41" t="inlineStr">
        <is>
          <t>Diffusion of Innovations — Rogers</t>
        </is>
      </c>
    </row>
    <row r="24" ht="22" customHeight="1">
      <c r="B24" s="42" t="n"/>
      <c r="C24" s="42" t="n"/>
      <c r="D24" s="39" t="inlineStr">
        <is>
          <t>The AI Whisperer</t>
        </is>
      </c>
      <c r="E24" s="40" t="inlineStr">
        <is>
          <t>Uses AI as a design and building partner</t>
        </is>
      </c>
      <c r="F24" s="41" t="inlineStr">
        <is>
          <t>Co-Intelligence — Mollick</t>
        </is>
      </c>
    </row>
    <row r="25" ht="22" customHeight="1">
      <c r="B25" s="43" t="n"/>
      <c r="C25" s="43" t="n"/>
      <c r="D25" s="39" t="inlineStr">
        <is>
          <t>The Integration Thinker</t>
        </is>
      </c>
      <c r="E25" s="40" t="inlineStr">
        <is>
          <t>Thinks across system boundaries</t>
        </is>
      </c>
      <c r="F25" s="41" t="inlineStr">
        <is>
          <t>Zachman Framework; API-first design</t>
        </is>
      </c>
    </row>
    <row r="26" ht="22" customHeight="1">
      <c r="B26" s="10" t="n">
        <v>6</v>
      </c>
      <c r="C26" s="44" t="inlineStr">
        <is>
          <t>Quality &amp; Oversight</t>
        </is>
      </c>
      <c r="D26" s="45" t="inlineStr">
        <is>
          <t>The QA Mindset</t>
        </is>
      </c>
      <c r="E26" s="46" t="inlineStr">
        <is>
          <t>Tests with intent to break</t>
        </is>
      </c>
      <c r="F26" s="47" t="inlineStr">
        <is>
          <t>Software Testing fundamentals; TDD</t>
        </is>
      </c>
    </row>
    <row r="27" ht="22" customHeight="1">
      <c r="B27" s="42" t="n"/>
      <c r="C27" s="42" t="n"/>
      <c r="D27" s="45" t="inlineStr">
        <is>
          <t>The Auditor</t>
        </is>
      </c>
      <c r="E27" s="46" t="inlineStr">
        <is>
          <t>Builds in logging, monitoring, checkpoints</t>
        </is>
      </c>
      <c r="F27" s="47" t="inlineStr">
        <is>
          <t>COBIT; SOC 2; DevOps Observability</t>
        </is>
      </c>
    </row>
    <row r="28" ht="22" customHeight="1">
      <c r="B28" s="43" t="n"/>
      <c r="C28" s="43" t="n"/>
      <c r="D28" s="45" t="inlineStr">
        <is>
          <t>The Risk Modeler</t>
        </is>
      </c>
      <c r="E28" s="46" t="inlineStr">
        <is>
          <t>Evaluates failure impact before deploying</t>
        </is>
      </c>
      <c r="F28" s="47" t="inlineStr">
        <is>
          <t>Risk Matrix; FMEA; ISO 31000</t>
        </is>
      </c>
    </row>
    <row r="29" ht="22" customHeight="1">
      <c r="B29" s="10" t="n">
        <v>7</v>
      </c>
      <c r="C29" s="38" t="inlineStr">
        <is>
          <t>Human &amp; Organizational Awareness</t>
        </is>
      </c>
      <c r="D29" s="39" t="inlineStr">
        <is>
          <t>The Change Champion</t>
        </is>
      </c>
      <c r="E29" s="40" t="inlineStr">
        <is>
          <t>Drives adoption</t>
        </is>
      </c>
      <c r="F29" s="41" t="inlineStr">
        <is>
          <t>Kotter; Prosci ADKAR</t>
        </is>
      </c>
    </row>
    <row r="30" ht="22" customHeight="1">
      <c r="B30" s="42" t="n"/>
      <c r="C30" s="42" t="n"/>
      <c r="D30" s="39" t="inlineStr">
        <is>
          <t>The Skeptic</t>
        </is>
      </c>
      <c r="E30" s="40" t="inlineStr">
        <is>
          <t>Healthy devil's advocate</t>
        </is>
      </c>
      <c r="F30" s="41" t="inlineStr">
        <is>
          <t>Red Team/Blue Team; Pre-Mortem</t>
        </is>
      </c>
    </row>
    <row r="31" ht="22" customHeight="1">
      <c r="B31" s="42" t="n"/>
      <c r="C31" s="42" t="n"/>
      <c r="D31" s="39" t="inlineStr">
        <is>
          <t>The Reluctant Participant</t>
        </is>
      </c>
      <c r="E31" s="40" t="inlineStr">
        <is>
          <t>Represents the average user; their confusion is signal</t>
        </is>
      </c>
      <c r="F31" s="41" t="inlineStr">
        <is>
          <t>Rogers — Late Majority; UAT</t>
        </is>
      </c>
    </row>
    <row r="32" ht="22" customHeight="1">
      <c r="B32" s="42" t="n"/>
      <c r="C32" s="42" t="n"/>
      <c r="D32" s="39" t="inlineStr">
        <is>
          <t>The Compliance Voice</t>
        </is>
      </c>
      <c r="E32" s="40" t="inlineStr">
        <is>
          <t>Asks 'is this allowed?'</t>
        </is>
      </c>
      <c r="F32" s="41" t="inlineStr">
        <is>
          <t>GDPR/HIPAA/SOC 2; Privacy by Design</t>
        </is>
      </c>
    </row>
    <row r="33" ht="22" customHeight="1">
      <c r="B33" s="43" t="n"/>
      <c r="C33" s="43" t="n"/>
      <c r="D33" s="39" t="inlineStr">
        <is>
          <t>The Ownership Taker</t>
        </is>
      </c>
      <c r="E33" s="40" t="inlineStr">
        <is>
          <t>Maintains automations post-launch</t>
        </is>
      </c>
      <c r="F33" s="41" t="inlineStr">
        <is>
          <t>RACI Accountable; DevOps 'You Build It, You Run It'</t>
        </is>
      </c>
    </row>
    <row r="34" ht="22" customHeight="1">
      <c r="B34" s="10" t="n">
        <v>8</v>
      </c>
      <c r="C34" s="44" t="inlineStr">
        <is>
          <t>Strategic &amp; Vision Thinking</t>
        </is>
      </c>
      <c r="D34" s="45" t="inlineStr">
        <is>
          <t>The ROI Tracker</t>
        </is>
      </c>
      <c r="E34" s="46" t="inlineStr">
        <is>
          <t>Measures impact</t>
        </is>
      </c>
      <c r="F34" s="47" t="inlineStr">
        <is>
          <t>OKR Framework — Doerr; Lean ROI</t>
        </is>
      </c>
    </row>
    <row r="35" ht="22" customHeight="1">
      <c r="B35" s="42" t="n"/>
      <c r="C35" s="42" t="n"/>
      <c r="D35" s="45" t="inlineStr">
        <is>
          <t>The Automation Evangelist</t>
        </is>
      </c>
      <c r="E35" s="46" t="inlineStr">
        <is>
          <t>Drives organizational will</t>
        </is>
      </c>
      <c r="F35" s="47" t="inlineStr">
        <is>
          <t>Diffusion of Innovations — Innovator profile</t>
        </is>
      </c>
    </row>
    <row r="36" ht="22" customHeight="1">
      <c r="B36" s="43" t="n"/>
      <c r="C36" s="43" t="n"/>
      <c r="D36" s="45" t="inlineStr">
        <is>
          <t>The Systems Thinker</t>
        </is>
      </c>
      <c r="E36" s="46" t="inlineStr">
        <is>
          <t>Sees the larger connected whole</t>
        </is>
      </c>
      <c r="F36" s="47" t="inlineStr">
        <is>
          <t>Thinking in Systems — Meadows; Cynefin — Snowden</t>
        </is>
      </c>
    </row>
  </sheetData>
  <mergeCells count="17">
    <mergeCell ref="C4:C7"/>
    <mergeCell ref="B17:B20"/>
    <mergeCell ref="B21:B25"/>
    <mergeCell ref="C29:C33"/>
    <mergeCell ref="B8:B11"/>
    <mergeCell ref="C17:C20"/>
    <mergeCell ref="B4:B7"/>
    <mergeCell ref="C8:C11"/>
    <mergeCell ref="C21:C25"/>
    <mergeCell ref="B26:B28"/>
    <mergeCell ref="B29:B33"/>
    <mergeCell ref="B34:B36"/>
    <mergeCell ref="B12:B16"/>
    <mergeCell ref="C34:C36"/>
    <mergeCell ref="C12:C16"/>
    <mergeCell ref="B1:F1"/>
    <mergeCell ref="C26:C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2026-03-10T07:03:23Z</dcterms:created>
  <dcterms:modified xsi:type="dcterms:W3CDTF">2026-03-10T07:03:24Z</dcterms:modified>
</cp:coreProperties>
</file>